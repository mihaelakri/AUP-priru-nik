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na\Documents\Sveuciliste DU\2025_26_AkGod\AUP-prirucnik\V06\ExcelNaprednoGrafikoni\GRAFOVI rjeseni primjeri\"/>
    </mc:Choice>
  </mc:AlternateContent>
  <xr:revisionPtr revIDLastSave="0" documentId="8_{03A22C5B-20A8-4117-8582-0CD343E0C4DD}" xr6:coauthVersionLast="47" xr6:coauthVersionMax="47" xr10:uidLastSave="{00000000-0000-0000-0000-000000000000}"/>
  <bookViews>
    <workbookView xWindow="-28920" yWindow="-120" windowWidth="29040" windowHeight="17520" xr2:uid="{8C521CA2-4BB3-454C-B848-480DBB4AF78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6" i="1" s="1"/>
  <c r="H6" i="1" s="1"/>
  <c r="H3" i="1"/>
  <c r="G4" i="1"/>
  <c r="H4" i="1" s="1"/>
  <c r="G5" i="1"/>
  <c r="H5" i="1" s="1"/>
  <c r="B6" i="1"/>
  <c r="C6" i="1"/>
  <c r="D6" i="1"/>
  <c r="E6" i="1"/>
  <c r="F6" i="1"/>
</calcChain>
</file>

<file path=xl/sharedStrings.xml><?xml version="1.0" encoding="utf-8"?>
<sst xmlns="http://schemas.openxmlformats.org/spreadsheetml/2006/main" count="13" uniqueCount="12">
  <si>
    <t>HOTEL</t>
  </si>
  <si>
    <t>Uvala</t>
  </si>
  <si>
    <t>Komodor</t>
  </si>
  <si>
    <t>Vis</t>
  </si>
  <si>
    <t>I</t>
  </si>
  <si>
    <t>II</t>
  </si>
  <si>
    <t>III</t>
  </si>
  <si>
    <t>IV</t>
  </si>
  <si>
    <t>LEŽAJ</t>
  </si>
  <si>
    <t>UKUPNO</t>
  </si>
  <si>
    <t>Iskorištenost kapaciteta</t>
  </si>
  <si>
    <t>Sezone 2004 godine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</si>
</sst>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238"/>
    </font>
    <font>
      <sz val="10"/>
      <name val="Arial"/>
      <charset val="238"/>
    </font>
    <font>
      <sz val="10"/>
      <name val="Courier New"/>
      <family val="3"/>
      <charset val="238"/>
    </font>
    <font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4" borderId="7" xfId="0" applyFill="1" applyBorder="1"/>
    <xf numFmtId="0" fontId="0" fillId="4" borderId="1" xfId="0" applyFill="1" applyBorder="1"/>
    <xf numFmtId="10" fontId="0" fillId="4" borderId="8" xfId="1" applyNumberFormat="1" applyFont="1" applyFill="1" applyBorder="1"/>
    <xf numFmtId="10" fontId="0" fillId="4" borderId="8" xfId="0" applyNumberFormat="1" applyFill="1" applyBorder="1"/>
    <xf numFmtId="10" fontId="0" fillId="4" borderId="9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Noćenja 2004. godine</a:t>
            </a:r>
          </a:p>
        </c:rich>
      </c:tx>
      <c:layout>
        <c:manualLayout>
          <c:xMode val="edge"/>
          <c:yMode val="edge"/>
          <c:x val="0.36652016565151563"/>
          <c:y val="3.7314638629199218E-2"/>
        </c:manualLayout>
      </c:layout>
      <c:overlay val="0"/>
      <c:spPr>
        <a:noFill/>
        <a:ln w="25400">
          <a:noFill/>
        </a:ln>
      </c:spPr>
    </c:title>
    <c:autoTitleDeleted val="0"/>
    <c:view3D>
      <c:rotX val="47"/>
      <c:hPercent val="52"/>
      <c:rotY val="315"/>
      <c:depthPercent val="100"/>
      <c:rAngAx val="1"/>
    </c:view3D>
    <c:floor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00FFFF" mc:Ignorable="a14" a14:legacySpreadsheetColorIndex="15"/>
            </a:gs>
            <a:gs pos="100000">
              <a:srgbClr xmlns:mc="http://schemas.openxmlformats.org/markup-compatibility/2006" xmlns:a14="http://schemas.microsoft.com/office/drawing/2010/main" val="000080" mc:Ignorable="a14" a14:legacySpreadsheetColorIndex="18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00FFFF" mc:Ignorable="a14" a14:legacySpreadsheetColorIndex="15"/>
            </a:gs>
            <a:gs pos="100000">
              <a:srgbClr xmlns:mc="http://schemas.openxmlformats.org/markup-compatibility/2006" xmlns:a14="http://schemas.microsoft.com/office/drawing/2010/main" val="000080" mc:Ignorable="a14" a14:legacySpreadsheetColorIndex="18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4789698013323011E-3"/>
          <c:y val="0.10945627331231771"/>
          <c:w val="0.80729226141346766"/>
          <c:h val="0.5945465754919074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Uvala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3000</c:v>
                </c:pt>
                <c:pt idx="1">
                  <c:v>6000</c:v>
                </c:pt>
                <c:pt idx="2">
                  <c:v>8000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5-42E4-BC1B-07AD1F758650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Komodor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2500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5-42E4-BC1B-07AD1F758650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Vis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0</c:v>
                </c:pt>
                <c:pt idx="1">
                  <c:v>7000</c:v>
                </c:pt>
                <c:pt idx="2">
                  <c:v>9000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65-42E4-BC1B-07AD1F758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5268112"/>
        <c:axId val="1"/>
        <c:axId val="0"/>
      </c:bar3DChart>
      <c:catAx>
        <c:axId val="151526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SEZONA</a:t>
                </a:r>
              </a:p>
            </c:rich>
          </c:tx>
          <c:layout>
            <c:manualLayout>
              <c:xMode val="edge"/>
              <c:yMode val="edge"/>
              <c:x val="0.38547810525418025"/>
              <c:y val="0.793557981514303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NOĆENJA</a:t>
                </a:r>
              </a:p>
            </c:rich>
          </c:tx>
          <c:layout>
            <c:manualLayout>
              <c:xMode val="edge"/>
              <c:yMode val="edge"/>
              <c:x val="0.84836779721924094"/>
              <c:y val="0.340807032813352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51526811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1.1058798101554352E-2"/>
          <c:y val="0.87067490134798164"/>
          <c:w val="0.95105663673367413"/>
          <c:h val="0.11443155846287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2"/>
      <a:srcRect/>
      <a:tile tx="0" ty="0" sx="100000" sy="100000" flip="none" algn="tl"/>
    </a:blip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UKUPAN BROJ NOĆENJA 2004</a:t>
            </a:r>
          </a:p>
        </c:rich>
      </c:tx>
      <c:layout>
        <c:manualLayout>
          <c:xMode val="edge"/>
          <c:yMode val="edge"/>
          <c:x val="0.29938575248540528"/>
          <c:y val="4.193698593369832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94881270711711"/>
          <c:y val="0.36130326342878549"/>
          <c:w val="0.5031343895935283"/>
          <c:h val="0.30968851151038757"/>
        </c:manualLayout>
      </c:layout>
      <c:pie3DChart>
        <c:varyColors val="1"/>
        <c:ser>
          <c:idx val="0"/>
          <c:order val="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explosion val="12"/>
          <c:dPt>
            <c:idx val="0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DD42-4A9E-95F5-7C1D34E2594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D42-4A9E-95F5-7C1D34E2594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D42-4A9E-95F5-7C1D34E2594D}"/>
              </c:ext>
            </c:extLst>
          </c:dPt>
          <c:dLbls>
            <c:dLbl>
              <c:idx val="0"/>
              <c:layout>
                <c:manualLayout>
                  <c:x val="-0.1416512791878507"/>
                  <c:y val="-2.44009943394487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sr-Latn-R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42-4A9E-95F5-7C1D34E2594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sr-Latn-R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Sheet1!$A$3:$A$5</c:f>
              <c:strCache>
                <c:ptCount val="3"/>
                <c:pt idx="0">
                  <c:v>Uvala</c:v>
                </c:pt>
                <c:pt idx="1">
                  <c:v>Komodor</c:v>
                </c:pt>
                <c:pt idx="2">
                  <c:v>Vis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19000</c:v>
                </c:pt>
                <c:pt idx="1">
                  <c:v>7000</c:v>
                </c:pt>
                <c:pt idx="2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42-4A9E-95F5-7C1D34E2594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2225549746692939"/>
          <c:y val="0.82261010869946694"/>
          <c:w val="0.35967871652760497"/>
          <c:h val="8.06480498724967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325439329585661"/>
          <c:y val="4.23467003880120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9190137382639775"/>
          <c:y val="0.45278395030259067"/>
          <c:w val="0.41893252725084862"/>
          <c:h val="0.19870374797451815"/>
        </c:manualLayout>
      </c:layout>
      <c:pie3D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Iskorištenost kapaciteta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CAF-42D6-AFFF-9088E9FB67C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AF-42D6-AFFF-9088E9FB67C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CAF-42D6-AFFF-9088E9FB67C3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sr-Latn-R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Sheet1!$A$3:$A$5</c:f>
              <c:strCache>
                <c:ptCount val="3"/>
                <c:pt idx="0">
                  <c:v>Uvala</c:v>
                </c:pt>
                <c:pt idx="1">
                  <c:v>Komodor</c:v>
                </c:pt>
                <c:pt idx="2">
                  <c:v>Vis</c:v>
                </c:pt>
              </c:strCache>
            </c:strRef>
          </c:cat>
          <c:val>
            <c:numRef>
              <c:f>Sheet1!$H$3:$H$5</c:f>
              <c:numCache>
                <c:formatCode>0.00%</c:formatCode>
                <c:ptCount val="3"/>
                <c:pt idx="0">
                  <c:v>0.25956284153005466</c:v>
                </c:pt>
                <c:pt idx="1">
                  <c:v>0.19125683060109289</c:v>
                </c:pt>
                <c:pt idx="2">
                  <c:v>0.13270882123341141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AF-42D6-AFFF-9088E9FB67C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 Noćenja sezone 2004 godine</a:t>
            </a:r>
          </a:p>
        </c:rich>
      </c:tx>
      <c:layout>
        <c:manualLayout>
          <c:xMode val="edge"/>
          <c:yMode val="edge"/>
          <c:x val="0.31622155156064591"/>
          <c:y val="4.4544837686553089E-2"/>
        </c:manualLayout>
      </c:layout>
      <c:overlay val="0"/>
      <c:spPr>
        <a:noFill/>
        <a:ln w="25400">
          <a:noFill/>
        </a:ln>
      </c:spPr>
    </c:title>
    <c:autoTitleDeleted val="0"/>
    <c:view3D>
      <c:rotX val="20"/>
      <c:hPercent val="57"/>
      <c:rotY val="315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CCFFFF" mc:Ignorable="a14" a14:legacySpreadsheetColorIndex="27"/>
            </a:gs>
            <a:gs pos="100000">
              <a:srgbClr xmlns:mc="http://schemas.openxmlformats.org/markup-compatibility/2006" xmlns:a14="http://schemas.microsoft.com/office/drawing/2010/main" val="5E7676" mc:Ignorable="a14" a14:legacySpreadsheetColorIndex="27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CCFFFF" mc:Ignorable="a14" a14:legacySpreadsheetColorIndex="27"/>
            </a:gs>
            <a:gs pos="100000">
              <a:srgbClr xmlns:mc="http://schemas.openxmlformats.org/markup-compatibility/2006" xmlns:a14="http://schemas.microsoft.com/office/drawing/2010/main" val="5E7676" mc:Ignorable="a14" a14:legacySpreadsheetColorIndex="27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2.8893339736505722E-2"/>
          <c:y val="0.16258865755591881"/>
          <c:w val="0.84272240898141682"/>
          <c:h val="0.63253669514905397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3000</c:v>
                </c:pt>
                <c:pt idx="1">
                  <c:v>6000</c:v>
                </c:pt>
                <c:pt idx="2">
                  <c:v>8000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1-4C5A-866B-EF8A76C676E2}"/>
            </c:ext>
          </c:extLst>
        </c:ser>
        <c:ser>
          <c:idx val="1"/>
          <c:order val="1"/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2500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71-4C5A-866B-EF8A76C676E2}"/>
            </c:ext>
          </c:extLst>
        </c:ser>
        <c:ser>
          <c:idx val="2"/>
          <c:order val="2"/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0</c:v>
                </c:pt>
                <c:pt idx="1">
                  <c:v>7000</c:v>
                </c:pt>
                <c:pt idx="2">
                  <c:v>9000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71-4C5A-866B-EF8A76C67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5284240"/>
        <c:axId val="1"/>
        <c:axId val="0"/>
      </c:bar3DChart>
      <c:catAx>
        <c:axId val="151528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sezona</a:t>
                </a:r>
              </a:p>
            </c:rich>
          </c:tx>
          <c:layout>
            <c:manualLayout>
              <c:xMode val="edge"/>
              <c:yMode val="edge"/>
              <c:x val="0.45105713699767253"/>
              <c:y val="0.850806399813163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noćenja</a:t>
                </a:r>
              </a:p>
            </c:rich>
          </c:tx>
          <c:layout>
            <c:manualLayout>
              <c:xMode val="edge"/>
              <c:yMode val="edge"/>
              <c:x val="0.91977131494543207"/>
              <c:y val="0.449902860634186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515284240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4190452021531764"/>
          <c:y val="0.92430538199597656"/>
          <c:w val="0.31622155156064591"/>
          <c:h val="5.34538052238637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 paperSize="9" orientation="landscape" horizontalDpi="0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24</xdr:row>
      <xdr:rowOff>0</xdr:rowOff>
    </xdr:from>
    <xdr:to>
      <xdr:col>9</xdr:col>
      <xdr:colOff>403860</xdr:colOff>
      <xdr:row>46</xdr:row>
      <xdr:rowOff>53340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22BF995-B5FF-2BF7-7AE7-9E93BFCC2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175260</xdr:colOff>
      <xdr:row>5</xdr:row>
      <xdr:rowOff>129540</xdr:rowOff>
    </xdr:from>
    <xdr:to>
      <xdr:col>13</xdr:col>
      <xdr:colOff>297180</xdr:colOff>
      <xdr:row>23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34CDB92D-F31E-FD56-E352-BAA4D6861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</xdr:row>
      <xdr:rowOff>60960</xdr:rowOff>
    </xdr:from>
    <xdr:to>
      <xdr:col>5</xdr:col>
      <xdr:colOff>480060</xdr:colOff>
      <xdr:row>23</xdr:row>
      <xdr:rowOff>68580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7F5AB15A-449C-5E3F-0D19-161CA0303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449580</xdr:colOff>
      <xdr:row>24</xdr:row>
      <xdr:rowOff>83820</xdr:rowOff>
    </xdr:from>
    <xdr:to>
      <xdr:col>19</xdr:col>
      <xdr:colOff>281940</xdr:colOff>
      <xdr:row>49</xdr:row>
      <xdr:rowOff>76200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FD8E3FBA-D18D-B4FD-1A0F-EFC22457C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D77E-E5E0-4488-82E1-E711B0C804DE}">
  <dimension ref="A1:H7"/>
  <sheetViews>
    <sheetView tabSelected="1" topLeftCell="A2" workbookViewId="0">
      <selection activeCell="R19" sqref="R19"/>
    </sheetView>
  </sheetViews>
  <sheetFormatPr defaultRowHeight="13.2" x14ac:dyDescent="0.25"/>
  <cols>
    <col min="8" max="8" width="11.6640625" customWidth="1"/>
  </cols>
  <sheetData>
    <row r="1" spans="1:8" ht="13.8" thickBot="1" x14ac:dyDescent="0.3">
      <c r="C1" t="s">
        <v>11</v>
      </c>
    </row>
    <row r="2" spans="1:8" ht="27" thickTop="1" x14ac:dyDescent="0.25">
      <c r="A2" s="2" t="s">
        <v>0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8</v>
      </c>
      <c r="G2" s="4" t="s">
        <v>9</v>
      </c>
      <c r="H2" s="5" t="s">
        <v>10</v>
      </c>
    </row>
    <row r="3" spans="1:8" x14ac:dyDescent="0.25">
      <c r="A3" s="6" t="s">
        <v>1</v>
      </c>
      <c r="B3" s="1">
        <v>3000</v>
      </c>
      <c r="C3" s="1">
        <v>6000</v>
      </c>
      <c r="D3" s="1">
        <v>8000</v>
      </c>
      <c r="E3" s="1">
        <v>2000</v>
      </c>
      <c r="F3" s="8">
        <v>200</v>
      </c>
      <c r="G3" s="11">
        <f>SUM(B3:E3)</f>
        <v>19000</v>
      </c>
      <c r="H3" s="12">
        <f>G3/(366*F3)</f>
        <v>0.25956284153005466</v>
      </c>
    </row>
    <row r="4" spans="1:8" x14ac:dyDescent="0.25">
      <c r="A4" s="6" t="s">
        <v>2</v>
      </c>
      <c r="B4" s="1">
        <v>1000</v>
      </c>
      <c r="C4" s="1">
        <v>2000</v>
      </c>
      <c r="D4" s="1">
        <v>2500</v>
      </c>
      <c r="E4" s="1">
        <v>1500</v>
      </c>
      <c r="F4" s="8">
        <v>100</v>
      </c>
      <c r="G4" s="11">
        <f>SUM(B4:E4)</f>
        <v>7000</v>
      </c>
      <c r="H4" s="13">
        <f>G4/(F4*366)</f>
        <v>0.19125683060109289</v>
      </c>
    </row>
    <row r="5" spans="1:8" x14ac:dyDescent="0.25">
      <c r="A5" s="6" t="s">
        <v>3</v>
      </c>
      <c r="B5" s="1">
        <v>0</v>
      </c>
      <c r="C5" s="1">
        <v>7000</v>
      </c>
      <c r="D5" s="1">
        <v>9000</v>
      </c>
      <c r="E5" s="1">
        <v>1000</v>
      </c>
      <c r="F5" s="8">
        <v>350</v>
      </c>
      <c r="G5" s="11">
        <f>SUM(B5:E5)</f>
        <v>17000</v>
      </c>
      <c r="H5" s="13">
        <f>G5/(F5*366)</f>
        <v>0.13270882123341141</v>
      </c>
    </row>
    <row r="6" spans="1:8" ht="13.8" thickBot="1" x14ac:dyDescent="0.3">
      <c r="A6" s="7" t="s">
        <v>9</v>
      </c>
      <c r="B6" s="10">
        <f t="shared" ref="B6:G6" si="0">SUM(B3:B5)</f>
        <v>4000</v>
      </c>
      <c r="C6" s="10">
        <f t="shared" si="0"/>
        <v>15000</v>
      </c>
      <c r="D6" s="10">
        <f t="shared" si="0"/>
        <v>19500</v>
      </c>
      <c r="E6" s="10">
        <f t="shared" si="0"/>
        <v>4500</v>
      </c>
      <c r="F6" s="9">
        <f t="shared" si="0"/>
        <v>650</v>
      </c>
      <c r="G6" s="10">
        <f t="shared" si="0"/>
        <v>43000</v>
      </c>
      <c r="H6" s="14">
        <f>G6/(F6*366)</f>
        <v>0.18074821353509879</v>
      </c>
    </row>
    <row r="7" spans="1:8" ht="13.8" thickTop="1" x14ac:dyDescent="0.25"/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Sveuciliste u Dubrovniku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b25</dc:creator>
  <cp:lastModifiedBy>Ivona Zakarija</cp:lastModifiedBy>
  <dcterms:created xsi:type="dcterms:W3CDTF">2005-12-08T13:22:28Z</dcterms:created>
  <dcterms:modified xsi:type="dcterms:W3CDTF">2026-06-07T17:39:33Z</dcterms:modified>
</cp:coreProperties>
</file>