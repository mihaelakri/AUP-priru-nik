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na\Documents\Sveuciliste DU\2025_26_AkGod\AUP-prirucnik\V06\ExcelNaprednoGrafikoni\Primjeri za vjezbu\"/>
    </mc:Choice>
  </mc:AlternateContent>
  <xr:revisionPtr revIDLastSave="0" documentId="8_{95E5EACD-D84E-432A-B3EF-116D1646F45E}" xr6:coauthVersionLast="47" xr6:coauthVersionMax="47" xr10:uidLastSave="{00000000-0000-0000-0000-000000000000}"/>
  <bookViews>
    <workbookView xWindow="-28920" yWindow="-120" windowWidth="29040" windowHeight="17520" xr2:uid="{09399A76-D2BB-45DE-92C2-258C9F668EDB}"/>
  </bookViews>
  <sheets>
    <sheet name="Sheet1" sheetId="1" r:id="rId1"/>
    <sheet name="Sheet2" sheetId="2" r:id="rId2"/>
  </sheets>
  <definedNames>
    <definedName name="emu">#REF!</definedName>
    <definedName name="euro">Sheet2!$B$9</definedName>
    <definedName name="tecaj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6" i="1" s="1"/>
  <c r="O2" i="1"/>
  <c r="P2" i="1"/>
  <c r="N3" i="1"/>
  <c r="O3" i="1"/>
  <c r="P3" i="1"/>
  <c r="N4" i="1"/>
  <c r="O4" i="1"/>
  <c r="P4" i="1"/>
  <c r="B5" i="1"/>
  <c r="C5" i="1"/>
  <c r="O5" i="1" s="1"/>
  <c r="D5" i="1"/>
  <c r="E5" i="1"/>
  <c r="F5" i="1"/>
  <c r="G5" i="1"/>
  <c r="H5" i="1"/>
  <c r="I5" i="1"/>
  <c r="J5" i="1"/>
  <c r="K5" i="1"/>
  <c r="L5" i="1"/>
  <c r="M5" i="1"/>
  <c r="N5" i="1"/>
  <c r="B6" i="1"/>
  <c r="C6" i="1"/>
  <c r="D6" i="1"/>
  <c r="E6" i="1"/>
  <c r="F6" i="1"/>
  <c r="G6" i="1"/>
  <c r="H6" i="1"/>
  <c r="I6" i="1"/>
  <c r="J6" i="1"/>
  <c r="K6" i="1"/>
  <c r="L6" i="1"/>
  <c r="M6" i="1"/>
  <c r="B7" i="1"/>
  <c r="C7" i="1"/>
  <c r="D7" i="1"/>
  <c r="E7" i="1"/>
  <c r="F7" i="1"/>
  <c r="G7" i="1"/>
  <c r="H7" i="1"/>
  <c r="I7" i="1"/>
  <c r="J7" i="1"/>
  <c r="K7" i="1"/>
  <c r="L7" i="1"/>
  <c r="M7" i="1"/>
  <c r="B8" i="1"/>
  <c r="C8" i="1"/>
  <c r="D8" i="1"/>
  <c r="E8" i="1"/>
  <c r="F8" i="1"/>
  <c r="G8" i="1"/>
  <c r="H8" i="1"/>
  <c r="I8" i="1"/>
  <c r="J8" i="1"/>
  <c r="B9" i="1"/>
  <c r="B2" i="2"/>
  <c r="O2" i="2" s="1"/>
  <c r="C2" i="2"/>
  <c r="D2" i="2"/>
  <c r="E2" i="2"/>
  <c r="E5" i="2" s="1"/>
  <c r="E7" i="2" s="1"/>
  <c r="F2" i="2"/>
  <c r="F5" i="2" s="1"/>
  <c r="F7" i="2" s="1"/>
  <c r="G2" i="2"/>
  <c r="G6" i="2" s="1"/>
  <c r="H2" i="2"/>
  <c r="H6" i="2" s="1"/>
  <c r="I2" i="2"/>
  <c r="I6" i="2" s="1"/>
  <c r="J2" i="2"/>
  <c r="J6" i="2" s="1"/>
  <c r="K2" i="2"/>
  <c r="K5" i="2" s="1"/>
  <c r="K7" i="2" s="1"/>
  <c r="L2" i="2"/>
  <c r="L6" i="2" s="1"/>
  <c r="M2" i="2"/>
  <c r="M6" i="2" s="1"/>
  <c r="N2" i="2"/>
  <c r="N6" i="2" s="1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B4" i="2"/>
  <c r="N4" i="2" s="1"/>
  <c r="C4" i="2"/>
  <c r="D4" i="2"/>
  <c r="E4" i="2"/>
  <c r="F4" i="2"/>
  <c r="G4" i="2"/>
  <c r="H4" i="2"/>
  <c r="I4" i="2"/>
  <c r="J4" i="2"/>
  <c r="K4" i="2"/>
  <c r="L4" i="2"/>
  <c r="M4" i="2"/>
  <c r="C5" i="2"/>
  <c r="C7" i="2" s="1"/>
  <c r="D5" i="2"/>
  <c r="D7" i="2" s="1"/>
  <c r="G5" i="2"/>
  <c r="C6" i="2"/>
  <c r="D6" i="2"/>
  <c r="E6" i="2"/>
  <c r="F6" i="2"/>
  <c r="G7" i="2"/>
  <c r="K6" i="2" l="1"/>
  <c r="I5" i="2"/>
  <c r="I7" i="2" s="1"/>
  <c r="N5" i="2"/>
  <c r="M5" i="2"/>
  <c r="M7" i="2" s="1"/>
  <c r="L5" i="2"/>
  <c r="L7" i="2" s="1"/>
  <c r="J5" i="2"/>
  <c r="J7" i="2" s="1"/>
  <c r="H5" i="2"/>
  <c r="H7" i="2" s="1"/>
  <c r="B5" i="2"/>
  <c r="B6" i="2"/>
  <c r="O4" i="2"/>
  <c r="B7" i="2" l="1"/>
  <c r="O5" i="2"/>
</calcChain>
</file>

<file path=xl/sharedStrings.xml><?xml version="1.0" encoding="utf-8"?>
<sst xmlns="http://schemas.openxmlformats.org/spreadsheetml/2006/main" count="41" uniqueCount="19">
  <si>
    <t>Vis</t>
  </si>
  <si>
    <t>Uvala</t>
  </si>
  <si>
    <t>Splendid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</si>
  <si>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</si>
  <si>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</si>
  <si>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</si>
  <si>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</si>
  <si>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</si>
  <si>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</si>
  <si>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</si>
  <si>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</si>
  <si>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</si>
  <si>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</si>
  <si>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</si>
  <si>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</si>
  <si>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UKUPNO</t>
  </si>
  <si>
    <t>PROSJEK</t>
  </si>
  <si>
    <t>OTVOREN</t>
  </si>
  <si>
    <t>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</si>
</sst>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238"/>
    </font>
    <font>
      <sz val="8"/>
      <name val="Arial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5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3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3" fontId="1" fillId="2" borderId="2" xfId="0" applyNumberFormat="1" applyFont="1" applyFill="1" applyBorder="1"/>
    <xf numFmtId="0" fontId="1" fillId="2" borderId="3" xfId="0" applyFont="1" applyFill="1" applyBorder="1"/>
    <xf numFmtId="0" fontId="0" fillId="2" borderId="4" xfId="0" applyFill="1" applyBorder="1"/>
    <xf numFmtId="3" fontId="0" fillId="0" borderId="5" xfId="0" applyNumberFormat="1" applyBorder="1"/>
    <xf numFmtId="0" fontId="0" fillId="2" borderId="6" xfId="0" applyFill="1" applyBorder="1"/>
    <xf numFmtId="3" fontId="0" fillId="3" borderId="5" xfId="0" applyNumberFormat="1" applyFill="1" applyBorder="1"/>
    <xf numFmtId="0" fontId="0" fillId="3" borderId="7" xfId="0" applyFill="1" applyBorder="1"/>
    <xf numFmtId="0" fontId="0" fillId="3" borderId="8" xfId="0" applyFill="1" applyBorder="1"/>
    <xf numFmtId="0" fontId="0" fillId="0" borderId="9" xfId="0" applyFill="1" applyBorder="1"/>
    <xf numFmtId="3" fontId="0" fillId="0" borderId="10" xfId="0" applyNumberFormat="1" applyFill="1" applyBorder="1"/>
    <xf numFmtId="0" fontId="0" fillId="0" borderId="11" xfId="0" applyFill="1" applyBorder="1"/>
    <xf numFmtId="0" fontId="0" fillId="0" borderId="12" xfId="0" applyFill="1" applyBorder="1"/>
    <xf numFmtId="3" fontId="0" fillId="0" borderId="13" xfId="0" applyNumberFormat="1" applyFill="1" applyBorder="1"/>
    <xf numFmtId="3" fontId="0" fillId="0" borderId="14" xfId="0" applyNumberFormat="1" applyFill="1" applyBorder="1"/>
    <xf numFmtId="0" fontId="0" fillId="2" borderId="0" xfId="0" applyFill="1" applyBorder="1"/>
    <xf numFmtId="4" fontId="0" fillId="0" borderId="5" xfId="0" applyNumberFormat="1" applyBorder="1"/>
    <xf numFmtId="4" fontId="0" fillId="3" borderId="5" xfId="0" applyNumberFormat="1" applyFill="1" applyBorder="1"/>
    <xf numFmtId="4" fontId="0" fillId="0" borderId="1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B577E-0796-4D97-9D02-AF7C9A13BCCC}">
  <dimension ref="A1:P9"/>
  <sheetViews>
    <sheetView tabSelected="1" workbookViewId="0">
      <selection activeCell="Q36" sqref="Q36"/>
    </sheetView>
  </sheetViews>
  <sheetFormatPr defaultRowHeight="13.2" x14ac:dyDescent="0.25"/>
  <cols>
    <col min="1" max="1" width="10" bestFit="1" customWidth="1"/>
    <col min="2" max="13" width="8.6640625" customWidth="1"/>
    <col min="14" max="14" width="12" style="1" customWidth="1"/>
    <col min="15" max="15" width="8.6640625" style="1" customWidth="1"/>
    <col min="16" max="16" width="8.88671875" customWidth="1"/>
  </cols>
  <sheetData>
    <row r="1" spans="1:16" ht="13.8" thickTop="1" x14ac:dyDescent="0.25">
      <c r="A1" s="2"/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4" t="s">
        <v>15</v>
      </c>
      <c r="O1" s="4" t="s">
        <v>16</v>
      </c>
      <c r="P1" s="5" t="s">
        <v>17</v>
      </c>
    </row>
    <row r="2" spans="1:16" x14ac:dyDescent="0.25">
      <c r="A2" s="6" t="s">
        <v>0</v>
      </c>
      <c r="B2" s="19">
        <v>0</v>
      </c>
      <c r="C2" s="19">
        <v>0</v>
      </c>
      <c r="D2" s="19">
        <v>1000</v>
      </c>
      <c r="E2" s="19">
        <v>2000</v>
      </c>
      <c r="F2" s="19">
        <v>3000</v>
      </c>
      <c r="G2" s="19">
        <v>2000</v>
      </c>
      <c r="H2" s="19">
        <v>1000</v>
      </c>
      <c r="I2" s="19">
        <v>4000</v>
      </c>
      <c r="J2" s="19">
        <v>3000</v>
      </c>
      <c r="K2" s="19">
        <v>0</v>
      </c>
      <c r="L2" s="19">
        <v>0</v>
      </c>
      <c r="M2" s="19">
        <v>0</v>
      </c>
      <c r="N2" s="20">
        <f>SUM(B2:M2)</f>
        <v>16000</v>
      </c>
      <c r="O2" s="20">
        <f>AVERAGE(B2:M2)</f>
        <v>1333.3333333333333</v>
      </c>
      <c r="P2" s="10">
        <f>COUNTIF(B2:M2,"&lt;&gt;0")</f>
        <v>7</v>
      </c>
    </row>
    <row r="3" spans="1:16" x14ac:dyDescent="0.25">
      <c r="A3" s="6" t="s">
        <v>1</v>
      </c>
      <c r="B3" s="19">
        <v>0</v>
      </c>
      <c r="C3" s="19">
        <v>0</v>
      </c>
      <c r="D3" s="19">
        <v>0</v>
      </c>
      <c r="E3" s="19">
        <v>2000</v>
      </c>
      <c r="F3" s="19">
        <v>2500</v>
      </c>
      <c r="G3" s="19">
        <v>3000</v>
      </c>
      <c r="H3" s="19">
        <v>3000</v>
      </c>
      <c r="I3" s="19">
        <v>2000</v>
      </c>
      <c r="J3" s="19">
        <v>1500</v>
      </c>
      <c r="K3" s="19">
        <v>1000</v>
      </c>
      <c r="L3" s="19">
        <v>0</v>
      </c>
      <c r="M3" s="19">
        <v>100</v>
      </c>
      <c r="N3" s="20">
        <f>SUM(B3:M3)</f>
        <v>15100</v>
      </c>
      <c r="O3" s="20">
        <f>AVERAGE(B3:M3)</f>
        <v>1258.3333333333333</v>
      </c>
      <c r="P3" s="10">
        <f>COUNTIF(B3:M3,"&lt;&gt;0")</f>
        <v>8</v>
      </c>
    </row>
    <row r="4" spans="1:16" x14ac:dyDescent="0.25">
      <c r="A4" s="6" t="s">
        <v>2</v>
      </c>
      <c r="B4" s="19">
        <v>0</v>
      </c>
      <c r="C4" s="19">
        <v>200</v>
      </c>
      <c r="D4" s="19">
        <v>400</v>
      </c>
      <c r="E4" s="19">
        <v>1000</v>
      </c>
      <c r="F4" s="19">
        <v>1500</v>
      </c>
      <c r="G4" s="19">
        <v>1500</v>
      </c>
      <c r="H4" s="19">
        <v>1200</v>
      </c>
      <c r="I4" s="19">
        <v>2000</v>
      </c>
      <c r="J4" s="19">
        <v>1500</v>
      </c>
      <c r="K4" s="19">
        <v>500</v>
      </c>
      <c r="L4" s="19">
        <v>50</v>
      </c>
      <c r="M4" s="19">
        <v>200</v>
      </c>
      <c r="N4" s="20">
        <f>SUM(B4:M4)</f>
        <v>10050</v>
      </c>
      <c r="O4" s="20">
        <f>AVERAGE(B4:M4)</f>
        <v>837.5</v>
      </c>
      <c r="P4" s="10">
        <f>COUNTIF(B4:M4,"&lt;&gt;0")</f>
        <v>11</v>
      </c>
    </row>
    <row r="5" spans="1:16" x14ac:dyDescent="0.25">
      <c r="A5" s="6" t="s">
        <v>15</v>
      </c>
      <c r="B5" s="20">
        <f>SUM(B2:B4)</f>
        <v>0</v>
      </c>
      <c r="C5" s="20">
        <f t="shared" ref="C5:N5" si="0">SUM(C2:C4)</f>
        <v>200</v>
      </c>
      <c r="D5" s="20">
        <f t="shared" si="0"/>
        <v>1400</v>
      </c>
      <c r="E5" s="20">
        <f t="shared" si="0"/>
        <v>5000</v>
      </c>
      <c r="F5" s="20">
        <f t="shared" si="0"/>
        <v>7000</v>
      </c>
      <c r="G5" s="20">
        <f t="shared" si="0"/>
        <v>6500</v>
      </c>
      <c r="H5" s="20">
        <f t="shared" si="0"/>
        <v>5200</v>
      </c>
      <c r="I5" s="20">
        <f t="shared" si="0"/>
        <v>8000</v>
      </c>
      <c r="J5" s="20">
        <f t="shared" si="0"/>
        <v>6000</v>
      </c>
      <c r="K5" s="20">
        <f t="shared" si="0"/>
        <v>1500</v>
      </c>
      <c r="L5" s="20">
        <f t="shared" si="0"/>
        <v>50</v>
      </c>
      <c r="M5" s="20">
        <f t="shared" si="0"/>
        <v>300</v>
      </c>
      <c r="N5" s="20">
        <f t="shared" si="0"/>
        <v>41150</v>
      </c>
      <c r="O5" s="20">
        <f>AVERAGE(B5:M5)</f>
        <v>3429.1666666666665</v>
      </c>
      <c r="P5" s="12"/>
    </row>
    <row r="6" spans="1:16" x14ac:dyDescent="0.25">
      <c r="A6" s="6" t="s">
        <v>16</v>
      </c>
      <c r="B6" s="20">
        <f>AVERAGE(B2:B4)</f>
        <v>0</v>
      </c>
      <c r="C6" s="20">
        <f t="shared" ref="C6:N6" si="1">AVERAGE(C2:C4)</f>
        <v>66.666666666666671</v>
      </c>
      <c r="D6" s="20">
        <f t="shared" si="1"/>
        <v>466.66666666666669</v>
      </c>
      <c r="E6" s="20">
        <f t="shared" si="1"/>
        <v>1666.6666666666667</v>
      </c>
      <c r="F6" s="20">
        <f t="shared" si="1"/>
        <v>2333.3333333333335</v>
      </c>
      <c r="G6" s="20">
        <f t="shared" si="1"/>
        <v>2166.6666666666665</v>
      </c>
      <c r="H6" s="20">
        <f t="shared" si="1"/>
        <v>1733.3333333333333</v>
      </c>
      <c r="I6" s="20">
        <f t="shared" si="1"/>
        <v>2666.6666666666665</v>
      </c>
      <c r="J6" s="20">
        <f t="shared" si="1"/>
        <v>2000</v>
      </c>
      <c r="K6" s="20">
        <f t="shared" si="1"/>
        <v>500</v>
      </c>
      <c r="L6" s="20">
        <f t="shared" si="1"/>
        <v>16.666666666666668</v>
      </c>
      <c r="M6" s="20">
        <f t="shared" si="1"/>
        <v>100</v>
      </c>
      <c r="N6" s="20">
        <f t="shared" si="1"/>
        <v>13716.666666666666</v>
      </c>
      <c r="O6" s="21"/>
      <c r="P6" s="14"/>
    </row>
    <row r="7" spans="1:16" ht="13.8" thickBot="1" x14ac:dyDescent="0.3">
      <c r="A7" s="8" t="s">
        <v>17</v>
      </c>
      <c r="B7" s="11">
        <f>COUNTIF(B2:B4,"&gt;0")</f>
        <v>0</v>
      </c>
      <c r="C7" s="11">
        <f t="shared" ref="C7:M7" si="2">COUNTIF(C2:C4,"&lt;&gt;0")</f>
        <v>1</v>
      </c>
      <c r="D7" s="11">
        <f t="shared" si="2"/>
        <v>2</v>
      </c>
      <c r="E7" s="11">
        <f t="shared" si="2"/>
        <v>3</v>
      </c>
      <c r="F7" s="11">
        <f t="shared" si="2"/>
        <v>3</v>
      </c>
      <c r="G7" s="11">
        <f t="shared" si="2"/>
        <v>3</v>
      </c>
      <c r="H7" s="11">
        <f t="shared" si="2"/>
        <v>3</v>
      </c>
      <c r="I7" s="11">
        <f t="shared" si="2"/>
        <v>3</v>
      </c>
      <c r="J7" s="11">
        <f t="shared" si="2"/>
        <v>3</v>
      </c>
      <c r="K7" s="11">
        <f t="shared" si="2"/>
        <v>2</v>
      </c>
      <c r="L7" s="11">
        <f t="shared" si="2"/>
        <v>1</v>
      </c>
      <c r="M7" s="11">
        <f t="shared" si="2"/>
        <v>2</v>
      </c>
      <c r="N7" s="16"/>
      <c r="O7" s="17"/>
      <c r="P7" s="15"/>
    </row>
    <row r="8" spans="1:16" ht="13.8" thickTop="1" x14ac:dyDescent="0.25">
      <c r="B8">
        <f>COUNTIF(B2:B4,"&gt;0")</f>
        <v>0</v>
      </c>
      <c r="C8">
        <f t="shared" ref="C8:J8" si="3">COUNTIF(C2:C4,"&gt;0")</f>
        <v>1</v>
      </c>
      <c r="D8">
        <f t="shared" si="3"/>
        <v>2</v>
      </c>
      <c r="E8">
        <f t="shared" si="3"/>
        <v>3</v>
      </c>
      <c r="F8">
        <f t="shared" si="3"/>
        <v>3</v>
      </c>
      <c r="G8">
        <f t="shared" si="3"/>
        <v>3</v>
      </c>
      <c r="H8">
        <f t="shared" si="3"/>
        <v>3</v>
      </c>
      <c r="I8">
        <f t="shared" si="3"/>
        <v>3</v>
      </c>
      <c r="J8">
        <f t="shared" si="3"/>
        <v>3</v>
      </c>
    </row>
    <row r="9" spans="1:16" x14ac:dyDescent="0.25">
      <c r="B9" t="e">
        <f>D4*emu</f>
        <v>#REF!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CC49B-0943-40D5-A27B-7E9704FC363D}">
  <dimension ref="A1:O9"/>
  <sheetViews>
    <sheetView workbookViewId="0">
      <selection activeCell="B9" sqref="B9"/>
    </sheetView>
  </sheetViews>
  <sheetFormatPr defaultRowHeight="13.2" x14ac:dyDescent="0.25"/>
  <cols>
    <col min="2" max="2" width="11.88671875" customWidth="1"/>
    <col min="3" max="3" width="12.33203125" customWidth="1"/>
    <col min="4" max="4" width="11" customWidth="1"/>
    <col min="12" max="12" width="12.88671875" customWidth="1"/>
    <col min="13" max="13" width="12.6640625" customWidth="1"/>
  </cols>
  <sheetData>
    <row r="1" spans="1:15" ht="13.8" thickTop="1" x14ac:dyDescent="0.25">
      <c r="A1" s="2"/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4" t="s">
        <v>15</v>
      </c>
      <c r="O1" s="4" t="s">
        <v>16</v>
      </c>
    </row>
    <row r="2" spans="1:15" x14ac:dyDescent="0.25">
      <c r="A2" s="6" t="s">
        <v>0</v>
      </c>
      <c r="B2" s="7">
        <f>Sheet1!B2/euro</f>
        <v>0</v>
      </c>
      <c r="C2" s="7">
        <f>Sheet1!C2/euro</f>
        <v>0</v>
      </c>
      <c r="D2" s="7">
        <f>Sheet1!D2/euro</f>
        <v>135.13513513513513</v>
      </c>
      <c r="E2" s="7">
        <f>Sheet1!E2/euro</f>
        <v>270.27027027027026</v>
      </c>
      <c r="F2" s="7">
        <f>Sheet1!F2/euro</f>
        <v>405.40540540540536</v>
      </c>
      <c r="G2" s="7">
        <f>Sheet1!G2/euro</f>
        <v>270.27027027027026</v>
      </c>
      <c r="H2" s="7">
        <f>Sheet1!H2/euro</f>
        <v>135.13513513513513</v>
      </c>
      <c r="I2" s="7">
        <f>Sheet1!I2/euro</f>
        <v>540.54054054054052</v>
      </c>
      <c r="J2" s="7">
        <f>Sheet1!J2/euro</f>
        <v>405.40540540540536</v>
      </c>
      <c r="K2" s="7">
        <f>Sheet1!K2/euro</f>
        <v>0</v>
      </c>
      <c r="L2" s="7">
        <f>Sheet1!L2/euro</f>
        <v>0</v>
      </c>
      <c r="M2" s="7">
        <f>Sheet1!M2/euro</f>
        <v>0</v>
      </c>
      <c r="N2" s="9">
        <f>SUM(B2:M2)</f>
        <v>2162.1621621621621</v>
      </c>
      <c r="O2" s="9">
        <f>AVERAGE(B2:M2)</f>
        <v>180.18018018018017</v>
      </c>
    </row>
    <row r="3" spans="1:15" x14ac:dyDescent="0.25">
      <c r="A3" s="6" t="s">
        <v>1</v>
      </c>
      <c r="B3" s="7">
        <f>Sheet1!B3/euro</f>
        <v>0</v>
      </c>
      <c r="C3" s="7">
        <f>Sheet1!C3/euro</f>
        <v>0</v>
      </c>
      <c r="D3" s="7">
        <f>Sheet1!D3/euro</f>
        <v>0</v>
      </c>
      <c r="E3" s="7">
        <f>Sheet1!E3/euro</f>
        <v>270.27027027027026</v>
      </c>
      <c r="F3" s="7">
        <f>Sheet1!F3/euro</f>
        <v>337.83783783783781</v>
      </c>
      <c r="G3" s="7">
        <f>Sheet1!G3/euro</f>
        <v>405.40540540540536</v>
      </c>
      <c r="H3" s="7">
        <f>Sheet1!H3/euro</f>
        <v>405.40540540540536</v>
      </c>
      <c r="I3" s="7">
        <f>Sheet1!I3/euro</f>
        <v>270.27027027027026</v>
      </c>
      <c r="J3" s="7">
        <f>Sheet1!J3/euro</f>
        <v>202.70270270270268</v>
      </c>
      <c r="K3" s="7">
        <f>Sheet1!K3/euro</f>
        <v>135.13513513513513</v>
      </c>
      <c r="L3" s="7">
        <f>Sheet1!L3/euro</f>
        <v>0</v>
      </c>
      <c r="M3" s="7">
        <f>Sheet1!M3/euro</f>
        <v>13.513513513513512</v>
      </c>
      <c r="N3" s="9">
        <f>SUM(B3:M3)</f>
        <v>2040.5405405405406</v>
      </c>
      <c r="O3" s="9">
        <f>AVERAGE(B3:M3)</f>
        <v>170.04504504504504</v>
      </c>
    </row>
    <row r="4" spans="1:15" x14ac:dyDescent="0.25">
      <c r="A4" s="6" t="s">
        <v>2</v>
      </c>
      <c r="B4" s="7">
        <f>Sheet1!B4/euro</f>
        <v>0</v>
      </c>
      <c r="C4" s="7">
        <f>Sheet1!C4/euro</f>
        <v>27.027027027027025</v>
      </c>
      <c r="D4" s="7">
        <f>Sheet1!D4/euro</f>
        <v>54.054054054054049</v>
      </c>
      <c r="E4" s="7">
        <f>Sheet1!E4/euro</f>
        <v>135.13513513513513</v>
      </c>
      <c r="F4" s="7">
        <f>Sheet1!F4/euro</f>
        <v>202.70270270270268</v>
      </c>
      <c r="G4" s="7">
        <f>Sheet1!G4/euro</f>
        <v>202.70270270270268</v>
      </c>
      <c r="H4" s="7">
        <f>Sheet1!H4/euro</f>
        <v>162.16216216216216</v>
      </c>
      <c r="I4" s="7">
        <f>Sheet1!I4/euro</f>
        <v>270.27027027027026</v>
      </c>
      <c r="J4" s="7">
        <f>Sheet1!J4/euro</f>
        <v>202.70270270270268</v>
      </c>
      <c r="K4" s="7">
        <f>Sheet1!K4/euro</f>
        <v>67.567567567567565</v>
      </c>
      <c r="L4" s="7">
        <f>Sheet1!L4/euro</f>
        <v>6.7567567567567561</v>
      </c>
      <c r="M4" s="7">
        <f>Sheet1!M4/euro</f>
        <v>27.027027027027025</v>
      </c>
      <c r="N4" s="9">
        <f>SUM(B4:M4)</f>
        <v>1358.1081081081079</v>
      </c>
      <c r="O4" s="9">
        <f>AVERAGE(B4:M4)</f>
        <v>113.17567567567566</v>
      </c>
    </row>
    <row r="5" spans="1:15" x14ac:dyDescent="0.25">
      <c r="A5" s="6" t="s">
        <v>15</v>
      </c>
      <c r="B5" s="9">
        <f>SUM(B2:B4)</f>
        <v>0</v>
      </c>
      <c r="C5" s="9">
        <f t="shared" ref="C5:N5" si="0">SUM(C2:C4)</f>
        <v>27.027027027027025</v>
      </c>
      <c r="D5" s="9">
        <f t="shared" si="0"/>
        <v>189.18918918918916</v>
      </c>
      <c r="E5" s="9">
        <f t="shared" si="0"/>
        <v>675.67567567567562</v>
      </c>
      <c r="F5" s="9">
        <f t="shared" si="0"/>
        <v>945.94594594594582</v>
      </c>
      <c r="G5" s="9">
        <f t="shared" si="0"/>
        <v>878.37837837837833</v>
      </c>
      <c r="H5" s="9">
        <f t="shared" si="0"/>
        <v>702.70270270270271</v>
      </c>
      <c r="I5" s="9">
        <f t="shared" si="0"/>
        <v>1081.081081081081</v>
      </c>
      <c r="J5" s="9">
        <f t="shared" si="0"/>
        <v>810.81081081081072</v>
      </c>
      <c r="K5" s="9">
        <f t="shared" si="0"/>
        <v>202.70270270270271</v>
      </c>
      <c r="L5" s="9">
        <f t="shared" si="0"/>
        <v>6.7567567567567561</v>
      </c>
      <c r="M5" s="9">
        <f t="shared" si="0"/>
        <v>40.540540540540533</v>
      </c>
      <c r="N5" s="9">
        <f t="shared" si="0"/>
        <v>5560.8108108108099</v>
      </c>
      <c r="O5" s="9">
        <f>AVERAGE(B5:M5)</f>
        <v>463.40090090090081</v>
      </c>
    </row>
    <row r="6" spans="1:15" x14ac:dyDescent="0.25">
      <c r="A6" s="6" t="s">
        <v>16</v>
      </c>
      <c r="B6" s="9">
        <f>AVERAGE(B2:B4)</f>
        <v>0</v>
      </c>
      <c r="C6" s="9">
        <f t="shared" ref="C6:N6" si="1">AVERAGE(C2:C4)</f>
        <v>9.0090090090090076</v>
      </c>
      <c r="D6" s="9">
        <f t="shared" si="1"/>
        <v>63.063063063063055</v>
      </c>
      <c r="E6" s="9">
        <f t="shared" si="1"/>
        <v>225.22522522522522</v>
      </c>
      <c r="F6" s="9">
        <f t="shared" si="1"/>
        <v>315.31531531531527</v>
      </c>
      <c r="G6" s="9">
        <f t="shared" si="1"/>
        <v>292.7927927927928</v>
      </c>
      <c r="H6" s="9">
        <f t="shared" si="1"/>
        <v>234.23423423423424</v>
      </c>
      <c r="I6" s="9">
        <f t="shared" si="1"/>
        <v>360.36036036036035</v>
      </c>
      <c r="J6" s="9">
        <f t="shared" si="1"/>
        <v>270.27027027027026</v>
      </c>
      <c r="K6" s="9">
        <f t="shared" si="1"/>
        <v>67.567567567567565</v>
      </c>
      <c r="L6" s="9">
        <f t="shared" si="1"/>
        <v>2.2522522522522519</v>
      </c>
      <c r="M6" s="9">
        <f t="shared" si="1"/>
        <v>13.51351351351351</v>
      </c>
      <c r="N6" s="9">
        <f t="shared" si="1"/>
        <v>1853.6036036036032</v>
      </c>
      <c r="O6" s="13"/>
    </row>
    <row r="7" spans="1:15" x14ac:dyDescent="0.25">
      <c r="B7" t="str">
        <f t="shared" ref="B7:K7" si="2">IF(B5&gt;300,"DOBRO", (IF(B5&gt;200,"LOŠE","JAKO LOŠE")))</f>
        <v>JAKO LOŠE</v>
      </c>
      <c r="C7" t="str">
        <f t="shared" si="2"/>
        <v>JAKO LOŠE</v>
      </c>
      <c r="D7" t="str">
        <f t="shared" si="2"/>
        <v>JAKO LOŠE</v>
      </c>
      <c r="E7" t="str">
        <f t="shared" si="2"/>
        <v>DOBRO</v>
      </c>
      <c r="F7" t="str">
        <f t="shared" si="2"/>
        <v>DOBRO</v>
      </c>
      <c r="G7" t="str">
        <f t="shared" si="2"/>
        <v>DOBRO</v>
      </c>
      <c r="H7" t="str">
        <f t="shared" si="2"/>
        <v>DOBRO</v>
      </c>
      <c r="I7" t="str">
        <f t="shared" si="2"/>
        <v>DOBRO</v>
      </c>
      <c r="J7" t="str">
        <f t="shared" si="2"/>
        <v>DOBRO</v>
      </c>
      <c r="K7" t="str">
        <f t="shared" si="2"/>
        <v>LOŠE</v>
      </c>
      <c r="L7" t="str">
        <f>IF(L5&gt;300,"DOBRO", (IF(L5&gt;200,"LOŠE","JAKO LOŠE")))</f>
        <v>JAKO LOŠE</v>
      </c>
      <c r="M7" t="str">
        <f>IF(M5&gt;300,"DOBRO", (IF(M5&gt;200,"LOŠE","JAKO LOŠE")))</f>
        <v>JAKO LOŠE</v>
      </c>
    </row>
    <row r="9" spans="1:15" x14ac:dyDescent="0.25">
      <c r="A9" s="18" t="s">
        <v>18</v>
      </c>
      <c r="B9">
        <v>7.4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euro</vt:lpstr>
    </vt:vector>
  </TitlesOfParts>
  <Company>Sveučilište  u Dubrovniku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b25</dc:creator>
  <cp:lastModifiedBy>Ivona Zakarija</cp:lastModifiedBy>
  <dcterms:created xsi:type="dcterms:W3CDTF">2006-01-12T13:34:51Z</dcterms:created>
  <dcterms:modified xsi:type="dcterms:W3CDTF">2026-06-07T17:44:12Z</dcterms:modified>
</cp:coreProperties>
</file>