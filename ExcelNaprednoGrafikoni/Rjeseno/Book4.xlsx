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vona\Documents\Sveuciliste DU\2025_26_AkGod\AUP-prirucnik\V06\ExcelNaprednoGrafikoni\GRAFOVI rjeseni primjeri\"/>
    </mc:Choice>
  </mc:AlternateContent>
  <xr:revisionPtr revIDLastSave="0" documentId="8_{762B7FF0-2058-4503-802D-F8A9F1DAFDEB}" xr6:coauthVersionLast="47" xr6:coauthVersionMax="47" xr10:uidLastSave="{00000000-0000-0000-0000-000000000000}"/>
  <bookViews>
    <workbookView xWindow="-28920" yWindow="-120" windowWidth="29040" windowHeight="17520" xr2:uid="{B390F2C5-1682-4E4F-9879-F55E401F9A49}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emu">Sheet4!$B$10</definedName>
    <definedName name="euro">Sheet2!$B$9</definedName>
    <definedName name="tecaj">Sheet3!$B$10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" l="1"/>
  <c r="O2" i="1"/>
  <c r="P2" i="1"/>
  <c r="N3" i="1"/>
  <c r="N6" i="1" s="1"/>
  <c r="O3" i="1"/>
  <c r="P3" i="1"/>
  <c r="N4" i="1"/>
  <c r="O4" i="1"/>
  <c r="P4" i="1"/>
  <c r="B5" i="1"/>
  <c r="C5" i="1"/>
  <c r="D5" i="1"/>
  <c r="E5" i="1"/>
  <c r="F5" i="1"/>
  <c r="G5" i="1"/>
  <c r="H5" i="1"/>
  <c r="I5" i="1"/>
  <c r="J5" i="1"/>
  <c r="K5" i="1"/>
  <c r="L5" i="1"/>
  <c r="M5" i="1"/>
  <c r="O5" i="1"/>
  <c r="B6" i="1"/>
  <c r="C6" i="1"/>
  <c r="D6" i="1"/>
  <c r="E6" i="1"/>
  <c r="F6" i="1"/>
  <c r="G6" i="1"/>
  <c r="H6" i="1"/>
  <c r="I6" i="1"/>
  <c r="J6" i="1"/>
  <c r="K6" i="1"/>
  <c r="L6" i="1"/>
  <c r="M6" i="1"/>
  <c r="B7" i="1"/>
  <c r="C7" i="1"/>
  <c r="D7" i="1"/>
  <c r="E7" i="1"/>
  <c r="F7" i="1"/>
  <c r="G7" i="1"/>
  <c r="H7" i="1"/>
  <c r="I7" i="1"/>
  <c r="J7" i="1"/>
  <c r="K7" i="1"/>
  <c r="L7" i="1"/>
  <c r="M7" i="1"/>
  <c r="B8" i="1"/>
  <c r="C8" i="1"/>
  <c r="D8" i="1"/>
  <c r="E8" i="1"/>
  <c r="F8" i="1"/>
  <c r="G8" i="1"/>
  <c r="H8" i="1"/>
  <c r="I8" i="1"/>
  <c r="J8" i="1"/>
  <c r="B9" i="1"/>
  <c r="B2" i="2"/>
  <c r="O2" i="2" s="1"/>
  <c r="C2" i="2"/>
  <c r="D2" i="2"/>
  <c r="E2" i="2"/>
  <c r="E5" i="2" s="1"/>
  <c r="E7" i="2" s="1"/>
  <c r="F2" i="2"/>
  <c r="G2" i="2"/>
  <c r="G6" i="2" s="1"/>
  <c r="H2" i="2"/>
  <c r="H6" i="2" s="1"/>
  <c r="I2" i="2"/>
  <c r="I5" i="2" s="1"/>
  <c r="I7" i="2" s="1"/>
  <c r="J2" i="2"/>
  <c r="K2" i="2"/>
  <c r="K6" i="2" s="1"/>
  <c r="L2" i="2"/>
  <c r="M2" i="2"/>
  <c r="M6" i="2" s="1"/>
  <c r="N2" i="2"/>
  <c r="B3" i="2"/>
  <c r="B6" i="2" s="1"/>
  <c r="C3" i="2"/>
  <c r="C6" i="2" s="1"/>
  <c r="D3" i="2"/>
  <c r="E3" i="2"/>
  <c r="F3" i="2"/>
  <c r="G3" i="2"/>
  <c r="H3" i="2"/>
  <c r="I3" i="2"/>
  <c r="J3" i="2"/>
  <c r="J6" i="2" s="1"/>
  <c r="K3" i="2"/>
  <c r="L3" i="2"/>
  <c r="M3" i="2"/>
  <c r="B4" i="2"/>
  <c r="N4" i="2" s="1"/>
  <c r="C4" i="2"/>
  <c r="D4" i="2"/>
  <c r="D6" i="2" s="1"/>
  <c r="E4" i="2"/>
  <c r="E6" i="2" s="1"/>
  <c r="F4" i="2"/>
  <c r="G4" i="2"/>
  <c r="H4" i="2"/>
  <c r="I4" i="2"/>
  <c r="J4" i="2"/>
  <c r="K4" i="2"/>
  <c r="L4" i="2"/>
  <c r="L6" i="2" s="1"/>
  <c r="M4" i="2"/>
  <c r="D5" i="2"/>
  <c r="D7" i="2" s="1"/>
  <c r="F5" i="2"/>
  <c r="G5" i="2"/>
  <c r="G7" i="2" s="1"/>
  <c r="F6" i="2"/>
  <c r="I6" i="2"/>
  <c r="F7" i="2"/>
  <c r="B2" i="3"/>
  <c r="N2" i="3" s="1"/>
  <c r="C2" i="3"/>
  <c r="D2" i="3"/>
  <c r="D5" i="3" s="1"/>
  <c r="E2" i="3"/>
  <c r="F2" i="3"/>
  <c r="F6" i="3" s="1"/>
  <c r="F7" i="3" s="1"/>
  <c r="G2" i="3"/>
  <c r="O2" i="3" s="1"/>
  <c r="H2" i="3"/>
  <c r="H6" i="3" s="1"/>
  <c r="H7" i="3" s="1"/>
  <c r="I2" i="3"/>
  <c r="J2" i="3"/>
  <c r="J6" i="3" s="1"/>
  <c r="J7" i="3" s="1"/>
  <c r="K2" i="3"/>
  <c r="L2" i="3"/>
  <c r="M2" i="3"/>
  <c r="M6" i="3" s="1"/>
  <c r="M7" i="3" s="1"/>
  <c r="B3" i="3"/>
  <c r="O3" i="3" s="1"/>
  <c r="C3" i="3"/>
  <c r="D3" i="3"/>
  <c r="E3" i="3"/>
  <c r="F3" i="3"/>
  <c r="G3" i="3"/>
  <c r="H3" i="3"/>
  <c r="I3" i="3"/>
  <c r="I6" i="3" s="1"/>
  <c r="I7" i="3" s="1"/>
  <c r="J3" i="3"/>
  <c r="K3" i="3"/>
  <c r="L3" i="3"/>
  <c r="L6" i="3" s="1"/>
  <c r="L7" i="3" s="1"/>
  <c r="M3" i="3"/>
  <c r="N4" i="3"/>
  <c r="O4" i="3"/>
  <c r="C5" i="3"/>
  <c r="E5" i="3"/>
  <c r="I5" i="3"/>
  <c r="K5" i="3"/>
  <c r="L5" i="3"/>
  <c r="C6" i="3"/>
  <c r="C7" i="3" s="1"/>
  <c r="D6" i="3"/>
  <c r="D7" i="3" s="1"/>
  <c r="E6" i="3"/>
  <c r="E7" i="3" s="1"/>
  <c r="K6" i="3"/>
  <c r="K7" i="3" s="1"/>
  <c r="B2" i="4"/>
  <c r="B6" i="4" s="1"/>
  <c r="B7" i="4" s="1"/>
  <c r="C2" i="4"/>
  <c r="C5" i="4" s="1"/>
  <c r="D2" i="4"/>
  <c r="E2" i="4"/>
  <c r="E6" i="4" s="1"/>
  <c r="E7" i="4" s="1"/>
  <c r="F2" i="4"/>
  <c r="G2" i="4"/>
  <c r="G6" i="4" s="1"/>
  <c r="G7" i="4" s="1"/>
  <c r="H2" i="4"/>
  <c r="H5" i="4" s="1"/>
  <c r="I2" i="4"/>
  <c r="J2" i="4"/>
  <c r="J6" i="4" s="1"/>
  <c r="J7" i="4" s="1"/>
  <c r="K2" i="4"/>
  <c r="K6" i="4" s="1"/>
  <c r="K7" i="4" s="1"/>
  <c r="B3" i="4"/>
  <c r="C3" i="4"/>
  <c r="O3" i="4" s="1"/>
  <c r="D3" i="4"/>
  <c r="E3" i="4"/>
  <c r="F3" i="4"/>
  <c r="G3" i="4"/>
  <c r="H3" i="4"/>
  <c r="I3" i="4"/>
  <c r="N3" i="4" s="1"/>
  <c r="J3" i="4"/>
  <c r="K3" i="4"/>
  <c r="B4" i="4"/>
  <c r="N4" i="4" s="1"/>
  <c r="C4" i="4"/>
  <c r="C6" i="4" s="1"/>
  <c r="C7" i="4" s="1"/>
  <c r="D4" i="4"/>
  <c r="E4" i="4"/>
  <c r="F4" i="4"/>
  <c r="G4" i="4"/>
  <c r="H4" i="4"/>
  <c r="I4" i="4"/>
  <c r="J4" i="4"/>
  <c r="K4" i="4"/>
  <c r="D5" i="4"/>
  <c r="F5" i="4"/>
  <c r="G5" i="4"/>
  <c r="L5" i="4"/>
  <c r="M5" i="4"/>
  <c r="D6" i="4"/>
  <c r="F6" i="4"/>
  <c r="H6" i="4"/>
  <c r="H7" i="4" s="1"/>
  <c r="I6" i="4"/>
  <c r="I7" i="4" s="1"/>
  <c r="L6" i="4"/>
  <c r="M6" i="4"/>
  <c r="D7" i="4"/>
  <c r="F7" i="4"/>
  <c r="L7" i="4"/>
  <c r="O4" i="4" l="1"/>
  <c r="J5" i="3"/>
  <c r="H5" i="3"/>
  <c r="M5" i="2"/>
  <c r="M7" i="2" s="1"/>
  <c r="G5" i="3"/>
  <c r="L5" i="2"/>
  <c r="L7" i="2" s="1"/>
  <c r="J5" i="4"/>
  <c r="G6" i="3"/>
  <c r="G7" i="3" s="1"/>
  <c r="J5" i="2"/>
  <c r="J7" i="2" s="1"/>
  <c r="K5" i="4"/>
  <c r="F5" i="3"/>
  <c r="K5" i="2"/>
  <c r="K7" i="2" s="1"/>
  <c r="I5" i="4"/>
  <c r="O2" i="4"/>
  <c r="N2" i="4"/>
  <c r="H5" i="2"/>
  <c r="H7" i="2" s="1"/>
  <c r="E5" i="4"/>
  <c r="B6" i="3"/>
  <c r="B7" i="3" s="1"/>
  <c r="B5" i="3"/>
  <c r="N3" i="3"/>
  <c r="N5" i="3" s="1"/>
  <c r="C5" i="2"/>
  <c r="C7" i="2" s="1"/>
  <c r="O3" i="2"/>
  <c r="N5" i="1"/>
  <c r="B5" i="4"/>
  <c r="M5" i="3"/>
  <c r="B5" i="2"/>
  <c r="N3" i="2"/>
  <c r="N5" i="2" s="1"/>
  <c r="O4" i="2"/>
  <c r="N6" i="2" l="1"/>
  <c r="O5" i="3"/>
  <c r="B7" i="2"/>
  <c r="O5" i="2"/>
  <c r="O5" i="4"/>
  <c r="N5" i="4"/>
  <c r="N6" i="4"/>
  <c r="N6" i="3"/>
</calcChain>
</file>

<file path=xl/sharedStrings.xml><?xml version="1.0" encoding="utf-8"?>
<sst xmlns="http://schemas.openxmlformats.org/spreadsheetml/2006/main" count="83" uniqueCount="21">
  <si>
    <t>Vis</t>
  </si>
  <si>
    <t>Uvala</t>
  </si>
  <si>
    <t>Splendid</t>
  </si>
  <si>
    <t>I</t>
  </si>
  <si>
    <t>II</t>
  </si>
  <si>
    <t>III</t>
  </si>
  <si>
    <t>IV</t>
  </si>
  <si>
    <t>V</t>
  </si>
  <si>
    <t>VI</t>
  </si>
  <si>
    <t>VII</t>
  </si>
  <si>
    <t>VIII</t>
  </si>
  <si>
    <t>IX</t>
  </si>
  <si>
    <t>X</t>
  </si>
  <si>
    <t>XI</t>
  </si>
  <si>
    <t>XII</t>
  </si>
  <si>
    <t>UKUPNO</t>
  </si>
  <si>
    <t>PROSJEK</t>
  </si>
  <si>
    <t>OTVOREN</t>
  </si>
  <si>
    <t>EURO</t>
  </si>
  <si>
    <t>Euro</t>
  </si>
  <si>
    <t>KAKAV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</si>
</sst>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charset val="238"/>
    </font>
    <font>
      <sz val="8"/>
      <name val="Arial"/>
      <charset val="238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</fills>
  <borders count="16">
    <border>
      <left/>
      <right/>
      <top/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3" fontId="0" fillId="0" borderId="0" xfId="0" applyNumberFormat="1"/>
    <xf numFmtId="0" fontId="0" fillId="2" borderId="1" xfId="0" applyFill="1" applyBorder="1"/>
    <xf numFmtId="0" fontId="0" fillId="2" borderId="2" xfId="0" applyFill="1" applyBorder="1"/>
    <xf numFmtId="3" fontId="1" fillId="2" borderId="2" xfId="0" applyNumberFormat="1" applyFont="1" applyFill="1" applyBorder="1"/>
    <xf numFmtId="0" fontId="1" fillId="2" borderId="3" xfId="0" applyFont="1" applyFill="1" applyBorder="1"/>
    <xf numFmtId="0" fontId="0" fillId="2" borderId="4" xfId="0" applyFill="1" applyBorder="1"/>
    <xf numFmtId="3" fontId="0" fillId="0" borderId="5" xfId="0" applyNumberFormat="1" applyBorder="1"/>
    <xf numFmtId="0" fontId="0" fillId="2" borderId="6" xfId="0" applyFill="1" applyBorder="1"/>
    <xf numFmtId="3" fontId="0" fillId="3" borderId="5" xfId="0" applyNumberFormat="1" applyFill="1" applyBorder="1"/>
    <xf numFmtId="0" fontId="0" fillId="3" borderId="7" xfId="0" applyFill="1" applyBorder="1"/>
    <xf numFmtId="0" fontId="0" fillId="3" borderId="8" xfId="0" applyFill="1" applyBorder="1"/>
    <xf numFmtId="0" fontId="0" fillId="0" borderId="9" xfId="0" applyFill="1" applyBorder="1"/>
    <xf numFmtId="3" fontId="0" fillId="0" borderId="10" xfId="0" applyNumberFormat="1" applyFill="1" applyBorder="1"/>
    <xf numFmtId="0" fontId="0" fillId="0" borderId="11" xfId="0" applyFill="1" applyBorder="1"/>
    <xf numFmtId="0" fontId="0" fillId="0" borderId="12" xfId="0" applyFill="1" applyBorder="1"/>
    <xf numFmtId="3" fontId="0" fillId="0" borderId="13" xfId="0" applyNumberFormat="1" applyFill="1" applyBorder="1"/>
    <xf numFmtId="3" fontId="0" fillId="0" borderId="14" xfId="0" applyNumberFormat="1" applyFill="1" applyBorder="1"/>
    <xf numFmtId="0" fontId="0" fillId="2" borderId="0" xfId="0" applyFill="1" applyBorder="1"/>
    <xf numFmtId="0" fontId="0" fillId="2" borderId="15" xfId="0" applyFill="1" applyBorder="1"/>
    <xf numFmtId="4" fontId="0" fillId="0" borderId="5" xfId="0" applyNumberFormat="1" applyBorder="1"/>
    <xf numFmtId="4" fontId="0" fillId="3" borderId="5" xfId="0" applyNumberFormat="1" applyFill="1" applyBorder="1"/>
    <xf numFmtId="4" fontId="0" fillId="0" borderId="10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hr-HR"/>
              <a:t>Broj noćenja</a:t>
            </a:r>
          </a:p>
        </c:rich>
      </c:tx>
      <c:layout>
        <c:manualLayout>
          <c:xMode val="edge"/>
          <c:yMode val="edge"/>
          <c:x val="0.41600226813125885"/>
          <c:y val="3.9395228469849275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hPercent val="44"/>
      <c:rotY val="20"/>
      <c:depthPercent val="1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0.12466517481457921"/>
          <c:y val="1.8182413139930433E-2"/>
          <c:w val="0.68294834898421652"/>
          <c:h val="0.86669502633668394"/>
        </c:manualLayout>
      </c:layout>
      <c:line3DChart>
        <c:grouping val="standar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Vis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cat>
            <c:strRef>
              <c:f>Sheet1!$B$1:$M$1</c:f>
              <c:strCache>
                <c:ptCount val="12"/>
                <c:pt idx="0">
                  <c:v>I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V</c:v>
                </c:pt>
                <c:pt idx="5">
                  <c:v>VI</c:v>
                </c:pt>
                <c:pt idx="6">
                  <c:v>VII</c:v>
                </c:pt>
                <c:pt idx="7">
                  <c:v>VIII</c:v>
                </c:pt>
                <c:pt idx="8">
                  <c:v>IX</c:v>
                </c:pt>
                <c:pt idx="9">
                  <c:v>X</c:v>
                </c:pt>
                <c:pt idx="10">
                  <c:v>XI</c:v>
                </c:pt>
                <c:pt idx="11">
                  <c:v>XII</c:v>
                </c:pt>
              </c:strCache>
            </c:strRef>
          </c:cat>
          <c:val>
            <c:numRef>
              <c:f>Sheet1!$B$2:$M$2</c:f>
              <c:numCache>
                <c:formatCode>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1000</c:v>
                </c:pt>
                <c:pt idx="3">
                  <c:v>2000</c:v>
                </c:pt>
                <c:pt idx="4">
                  <c:v>3000</c:v>
                </c:pt>
                <c:pt idx="5">
                  <c:v>2000</c:v>
                </c:pt>
                <c:pt idx="6">
                  <c:v>1000</c:v>
                </c:pt>
                <c:pt idx="7">
                  <c:v>4000</c:v>
                </c:pt>
                <c:pt idx="8">
                  <c:v>3000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6C-4181-BF51-E7BF601E329B}"/>
            </c:ext>
          </c:extLst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Uvala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cat>
            <c:strRef>
              <c:f>Sheet1!$B$1:$M$1</c:f>
              <c:strCache>
                <c:ptCount val="12"/>
                <c:pt idx="0">
                  <c:v>I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V</c:v>
                </c:pt>
                <c:pt idx="5">
                  <c:v>VI</c:v>
                </c:pt>
                <c:pt idx="6">
                  <c:v>VII</c:v>
                </c:pt>
                <c:pt idx="7">
                  <c:v>VIII</c:v>
                </c:pt>
                <c:pt idx="8">
                  <c:v>IX</c:v>
                </c:pt>
                <c:pt idx="9">
                  <c:v>X</c:v>
                </c:pt>
                <c:pt idx="10">
                  <c:v>XI</c:v>
                </c:pt>
                <c:pt idx="11">
                  <c:v>XII</c:v>
                </c:pt>
              </c:strCache>
            </c:strRef>
          </c:cat>
          <c:val>
            <c:numRef>
              <c:f>Sheet1!$B$3:$M$3</c:f>
              <c:numCache>
                <c:formatCode>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2000</c:v>
                </c:pt>
                <c:pt idx="4">
                  <c:v>2500</c:v>
                </c:pt>
                <c:pt idx="5">
                  <c:v>3000</c:v>
                </c:pt>
                <c:pt idx="6">
                  <c:v>3000</c:v>
                </c:pt>
                <c:pt idx="7">
                  <c:v>2000</c:v>
                </c:pt>
                <c:pt idx="8">
                  <c:v>1500</c:v>
                </c:pt>
                <c:pt idx="9">
                  <c:v>1000</c:v>
                </c:pt>
                <c:pt idx="10">
                  <c:v>0</c:v>
                </c:pt>
                <c:pt idx="11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36C-4181-BF51-E7BF601E329B}"/>
            </c:ext>
          </c:extLst>
        </c:ser>
        <c:ser>
          <c:idx val="2"/>
          <c:order val="2"/>
          <c:tx>
            <c:strRef>
              <c:f>Sheet1!$A$4</c:f>
              <c:strCache>
                <c:ptCount val="1"/>
                <c:pt idx="0">
                  <c:v>Splendid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cat>
            <c:strRef>
              <c:f>Sheet1!$B$1:$M$1</c:f>
              <c:strCache>
                <c:ptCount val="12"/>
                <c:pt idx="0">
                  <c:v>I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V</c:v>
                </c:pt>
                <c:pt idx="5">
                  <c:v>VI</c:v>
                </c:pt>
                <c:pt idx="6">
                  <c:v>VII</c:v>
                </c:pt>
                <c:pt idx="7">
                  <c:v>VIII</c:v>
                </c:pt>
                <c:pt idx="8">
                  <c:v>IX</c:v>
                </c:pt>
                <c:pt idx="9">
                  <c:v>X</c:v>
                </c:pt>
                <c:pt idx="10">
                  <c:v>XI</c:v>
                </c:pt>
                <c:pt idx="11">
                  <c:v>XII</c:v>
                </c:pt>
              </c:strCache>
            </c:strRef>
          </c:cat>
          <c:val>
            <c:numRef>
              <c:f>Sheet1!$B$4:$M$4</c:f>
              <c:numCache>
                <c:formatCode>#,##0.00</c:formatCode>
                <c:ptCount val="12"/>
                <c:pt idx="0">
                  <c:v>0</c:v>
                </c:pt>
                <c:pt idx="1">
                  <c:v>200</c:v>
                </c:pt>
                <c:pt idx="2">
                  <c:v>400</c:v>
                </c:pt>
                <c:pt idx="3">
                  <c:v>1000</c:v>
                </c:pt>
                <c:pt idx="4">
                  <c:v>1500</c:v>
                </c:pt>
                <c:pt idx="5">
                  <c:v>1500</c:v>
                </c:pt>
                <c:pt idx="6">
                  <c:v>1200</c:v>
                </c:pt>
                <c:pt idx="7">
                  <c:v>2000</c:v>
                </c:pt>
                <c:pt idx="8">
                  <c:v>1500</c:v>
                </c:pt>
                <c:pt idx="9">
                  <c:v>500</c:v>
                </c:pt>
                <c:pt idx="10">
                  <c:v>50</c:v>
                </c:pt>
                <c:pt idx="11">
                  <c:v>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36C-4181-BF51-E7BF601E32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8368655"/>
        <c:axId val="1"/>
        <c:axId val="2"/>
      </c:line3DChart>
      <c:catAx>
        <c:axId val="31836865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r-Latn-R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r-Latn-RS"/>
          </a:p>
        </c:txPr>
        <c:crossAx val="318368655"/>
        <c:crosses val="autoZero"/>
        <c:crossBetween val="between"/>
      </c:valAx>
      <c:serAx>
        <c:axId val="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r-Latn-RS"/>
          </a:p>
        </c:txPr>
        <c:crossAx val="1"/>
        <c:crosses val="autoZero"/>
        <c:tickLblSkip val="5"/>
        <c:tickMarkSkip val="1"/>
      </c:ser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4282923074009275"/>
          <c:y val="0.88184703728662595"/>
          <c:w val="0.32385844326830904"/>
          <c:h val="9.394246788964057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sr-Latn-R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sr-Latn-RS"/>
    </a:p>
  </c:txPr>
  <c:printSettings>
    <c:headerFooter alignWithMargins="0"/>
    <c:pageMargins b="1" l="0.75" r="0.75" t="1" header="0.5" footer="0.5"/>
    <c:pageSetup paperSize="9" orientation="landscape" horizontalDpi="300" verticalDpi="3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hr-HR"/>
              <a:t>Prosjek noćenja po mjesecima</a:t>
            </a:r>
          </a:p>
        </c:rich>
      </c:tx>
      <c:layout>
        <c:manualLayout>
          <c:xMode val="edge"/>
          <c:yMode val="edge"/>
          <c:x val="0.25278558682597968"/>
          <c:y val="3.713646042868686E-2"/>
        </c:manualLayout>
      </c:layout>
      <c:overlay val="0"/>
      <c:spPr>
        <a:noFill/>
        <a:ln w="25400">
          <a:noFill/>
        </a:ln>
      </c:spPr>
    </c:title>
    <c:autoTitleDeleted val="0"/>
    <c:view3D>
      <c:rotX val="21"/>
      <c:hPercent val="52"/>
      <c:rotY val="44"/>
      <c:depthPercent val="1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0.13472638418747268"/>
          <c:y val="4.7746877694025962E-2"/>
          <c:w val="0.85558198618023895"/>
          <c:h val="0.79047608626776322"/>
        </c:manualLayout>
      </c:layout>
      <c:line3DChart>
        <c:grouping val="standar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cat>
            <c:strRef>
              <c:f>Sheet1!$B$1:$M$1</c:f>
              <c:strCache>
                <c:ptCount val="12"/>
                <c:pt idx="0">
                  <c:v>I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V</c:v>
                </c:pt>
                <c:pt idx="5">
                  <c:v>VI</c:v>
                </c:pt>
                <c:pt idx="6">
                  <c:v>VII</c:v>
                </c:pt>
                <c:pt idx="7">
                  <c:v>VIII</c:v>
                </c:pt>
                <c:pt idx="8">
                  <c:v>IX</c:v>
                </c:pt>
                <c:pt idx="9">
                  <c:v>X</c:v>
                </c:pt>
                <c:pt idx="10">
                  <c:v>XI</c:v>
                </c:pt>
                <c:pt idx="11">
                  <c:v>XII</c:v>
                </c:pt>
              </c:strCache>
            </c:strRef>
          </c:cat>
          <c:val>
            <c:numRef>
              <c:f>Sheet1!$B$9:$M$9</c:f>
              <c:numCache>
                <c:formatCode>General</c:formatCode>
                <c:ptCount val="12"/>
                <c:pt idx="0">
                  <c:v>2960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60-4D42-9B0C-E72AEF3F17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8354255"/>
        <c:axId val="1"/>
        <c:axId val="2"/>
      </c:line3DChart>
      <c:catAx>
        <c:axId val="31835425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r-Latn-R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r-Latn-RS"/>
          </a:p>
        </c:txPr>
        <c:crossAx val="318354255"/>
        <c:crosses val="autoZero"/>
        <c:crossBetween val="between"/>
      </c:valAx>
      <c:serAx>
        <c:axId val="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5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r-Latn-RS"/>
          </a:p>
        </c:txPr>
        <c:crossAx val="1"/>
        <c:crosses val="autoZero"/>
        <c:tickLblSkip val="1"/>
        <c:tickMarkSkip val="1"/>
      </c:ser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4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sr-Latn-RS"/>
    </a:p>
  </c:txPr>
  <c:printSettings>
    <c:headerFooter alignWithMargins="0"/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hr-HR"/>
              <a:t>Broj otvorenih mj</a:t>
            </a:r>
          </a:p>
        </c:rich>
      </c:tx>
      <c:layout>
        <c:manualLayout>
          <c:xMode val="edge"/>
          <c:yMode val="edge"/>
          <c:x val="0.40477531306440973"/>
          <c:y val="6.7094807267258583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hPercent val="37"/>
      <c:rotY val="20"/>
      <c:depthPercent val="1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noFill/>
        <a:ln w="25400">
          <a:noFill/>
        </a:ln>
      </c:spPr>
    </c:sideWall>
    <c:backWall>
      <c:thickness val="0"/>
      <c:spPr>
        <a:noFill/>
        <a:ln w="25400">
          <a:noFill/>
        </a:ln>
      </c:spPr>
    </c:backWall>
    <c:plotArea>
      <c:layout>
        <c:manualLayout>
          <c:layoutTarget val="inner"/>
          <c:xMode val="edge"/>
          <c:yMode val="edge"/>
          <c:x val="0.17778366691456429"/>
          <c:y val="0.24281930249103104"/>
          <c:w val="0.79367708444001905"/>
          <c:h val="0.5846833204718247"/>
        </c:manualLayout>
      </c:layout>
      <c:bar3D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Sheet1!$A$2:$A$4</c:f>
              <c:strCache>
                <c:ptCount val="3"/>
                <c:pt idx="0">
                  <c:v>Vis</c:v>
                </c:pt>
                <c:pt idx="1">
                  <c:v>Uvala</c:v>
                </c:pt>
                <c:pt idx="2">
                  <c:v>Splendid</c:v>
                </c:pt>
              </c:strCache>
            </c:strRef>
          </c:cat>
          <c:val>
            <c:numRef>
              <c:f>Sheet1!$P$2:$P$4</c:f>
              <c:numCache>
                <c:formatCode>General</c:formatCode>
                <c:ptCount val="3"/>
                <c:pt idx="0">
                  <c:v>7</c:v>
                </c:pt>
                <c:pt idx="1">
                  <c:v>8</c:v>
                </c:pt>
                <c:pt idx="2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FA-4D9F-B09D-4415EA174B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18372975"/>
        <c:axId val="1"/>
        <c:axId val="0"/>
      </c:bar3DChart>
      <c:catAx>
        <c:axId val="31837297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r-Latn-R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2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hr-HR"/>
                  <a:t>Mjesec</a:t>
                </a:r>
              </a:p>
            </c:rich>
          </c:tx>
          <c:layout>
            <c:manualLayout>
              <c:xMode val="edge"/>
              <c:yMode val="edge"/>
              <c:x val="7.7780354275121866E-2"/>
              <c:y val="0.5463434306048198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r-Latn-RS"/>
          </a:p>
        </c:txPr>
        <c:crossAx val="318372975"/>
        <c:crosses val="autoZero"/>
        <c:crossBetween val="between"/>
        <c:majorUnit val="2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sr-Latn-RS"/>
    </a:p>
  </c:txPr>
  <c:printSettings>
    <c:headerFooter alignWithMargins="0"/>
    <c:pageMargins b="1" l="0.75" r="0.75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9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hr-HR"/>
              <a:t>PRIHOD 2004</a:t>
            </a:r>
          </a:p>
        </c:rich>
      </c:tx>
      <c:layout>
        <c:manualLayout>
          <c:xMode val="edge"/>
          <c:yMode val="edge"/>
          <c:x val="0.38432037433454141"/>
          <c:y val="3.5321276867446412E-2"/>
        </c:manualLayout>
      </c:layout>
      <c:overlay val="0"/>
      <c:spPr>
        <a:noFill/>
        <a:ln w="25400">
          <a:noFill/>
        </a:ln>
      </c:spPr>
    </c:title>
    <c:autoTitleDeleted val="0"/>
    <c:view3D>
      <c:rotX val="14"/>
      <c:hPercent val="100"/>
      <c:rotY val="44"/>
      <c:depthPercent val="100"/>
      <c:rAngAx val="0"/>
      <c:perspective val="0"/>
    </c:view3D>
    <c:floor>
      <c:thickness val="0"/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3175">
          <a:solidFill>
            <a:srgbClr val="000000"/>
          </a:solidFill>
          <a:prstDash val="solid"/>
        </a:ln>
      </c:spPr>
    </c:floor>
    <c:sideWall>
      <c:thickness val="0"/>
      <c:spPr>
        <a:gradFill rotWithShape="0">
          <a:gsLst>
            <a:gs pos="0">
              <a:srgbClr xmlns:mc="http://schemas.openxmlformats.org/markup-compatibility/2006" xmlns:a14="http://schemas.microsoft.com/office/drawing/2010/main" val="339966" mc:Ignorable="a14" a14:legacySpreadsheetColorIndex="57"/>
            </a:gs>
            <a:gs pos="100000">
              <a:srgbClr xmlns:mc="http://schemas.openxmlformats.org/markup-compatibility/2006" xmlns:a14="http://schemas.microsoft.com/office/drawing/2010/main" val="00FF00" mc:Ignorable="a14" a14:legacySpreadsheetColorIndex="11"/>
            </a:gs>
          </a:gsLst>
          <a:lin ang="18900000" scaled="1"/>
        </a:gradFill>
        <a:ln w="12700">
          <a:solidFill>
            <a:srgbClr val="808080"/>
          </a:solidFill>
          <a:prstDash val="solid"/>
        </a:ln>
      </c:spPr>
    </c:sideWall>
    <c:backWall>
      <c:thickness val="0"/>
      <c:spPr>
        <a:gradFill rotWithShape="0">
          <a:gsLst>
            <a:gs pos="0">
              <a:srgbClr xmlns:mc="http://schemas.openxmlformats.org/markup-compatibility/2006" xmlns:a14="http://schemas.microsoft.com/office/drawing/2010/main" val="339966" mc:Ignorable="a14" a14:legacySpreadsheetColorIndex="57"/>
            </a:gs>
            <a:gs pos="100000">
              <a:srgbClr xmlns:mc="http://schemas.openxmlformats.org/markup-compatibility/2006" xmlns:a14="http://schemas.microsoft.com/office/drawing/2010/main" val="00FF00" mc:Ignorable="a14" a14:legacySpreadsheetColorIndex="11"/>
            </a:gs>
          </a:gsLst>
          <a:lin ang="18900000" scaled="1"/>
        </a:grad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0.20745321244355869"/>
          <c:y val="0.21192766120467854"/>
          <c:w val="0.76997057695397741"/>
          <c:h val="0.67551942008991273"/>
        </c:manualLayout>
      </c:layout>
      <c:line3DChart>
        <c:grouping val="standar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Vis</c:v>
                </c:pt>
              </c:strCache>
            </c:strRef>
          </c:tx>
          <c:spPr>
            <a:solidFill>
              <a:srgbClr val="FF00FF"/>
            </a:solidFill>
            <a:ln w="12700">
              <a:solidFill>
                <a:srgbClr val="000000"/>
              </a:solidFill>
              <a:prstDash val="solid"/>
            </a:ln>
          </c:spPr>
          <c:cat>
            <c:strRef>
              <c:f>Sheet1!$B$1:$M$1</c:f>
              <c:strCache>
                <c:ptCount val="12"/>
                <c:pt idx="0">
                  <c:v>I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V</c:v>
                </c:pt>
                <c:pt idx="5">
                  <c:v>VI</c:v>
                </c:pt>
                <c:pt idx="6">
                  <c:v>VII</c:v>
                </c:pt>
                <c:pt idx="7">
                  <c:v>VIII</c:v>
                </c:pt>
                <c:pt idx="8">
                  <c:v>IX</c:v>
                </c:pt>
                <c:pt idx="9">
                  <c:v>X</c:v>
                </c:pt>
                <c:pt idx="10">
                  <c:v>XI</c:v>
                </c:pt>
                <c:pt idx="11">
                  <c:v>XII</c:v>
                </c:pt>
              </c:strCache>
            </c:strRef>
          </c:cat>
          <c:val>
            <c:numRef>
              <c:f>Sheet1!$B$2:$M$2</c:f>
              <c:numCache>
                <c:formatCode>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1000</c:v>
                </c:pt>
                <c:pt idx="3">
                  <c:v>2000</c:v>
                </c:pt>
                <c:pt idx="4">
                  <c:v>3000</c:v>
                </c:pt>
                <c:pt idx="5">
                  <c:v>2000</c:v>
                </c:pt>
                <c:pt idx="6">
                  <c:v>1000</c:v>
                </c:pt>
                <c:pt idx="7">
                  <c:v>4000</c:v>
                </c:pt>
                <c:pt idx="8">
                  <c:v>3000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5B-4AFE-85E7-D00CDD4AAF02}"/>
            </c:ext>
          </c:extLst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Uvala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cat>
            <c:strRef>
              <c:f>Sheet1!$B$1:$M$1</c:f>
              <c:strCache>
                <c:ptCount val="12"/>
                <c:pt idx="0">
                  <c:v>I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V</c:v>
                </c:pt>
                <c:pt idx="5">
                  <c:v>VI</c:v>
                </c:pt>
                <c:pt idx="6">
                  <c:v>VII</c:v>
                </c:pt>
                <c:pt idx="7">
                  <c:v>VIII</c:v>
                </c:pt>
                <c:pt idx="8">
                  <c:v>IX</c:v>
                </c:pt>
                <c:pt idx="9">
                  <c:v>X</c:v>
                </c:pt>
                <c:pt idx="10">
                  <c:v>XI</c:v>
                </c:pt>
                <c:pt idx="11">
                  <c:v>XII</c:v>
                </c:pt>
              </c:strCache>
            </c:strRef>
          </c:cat>
          <c:val>
            <c:numRef>
              <c:f>Sheet1!$B$3:$M$3</c:f>
              <c:numCache>
                <c:formatCode>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2000</c:v>
                </c:pt>
                <c:pt idx="4">
                  <c:v>2500</c:v>
                </c:pt>
                <c:pt idx="5">
                  <c:v>3000</c:v>
                </c:pt>
                <c:pt idx="6">
                  <c:v>3000</c:v>
                </c:pt>
                <c:pt idx="7">
                  <c:v>2000</c:v>
                </c:pt>
                <c:pt idx="8">
                  <c:v>1500</c:v>
                </c:pt>
                <c:pt idx="9">
                  <c:v>1000</c:v>
                </c:pt>
                <c:pt idx="10">
                  <c:v>0</c:v>
                </c:pt>
                <c:pt idx="11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5B-4AFE-85E7-D00CDD4AAF02}"/>
            </c:ext>
          </c:extLst>
        </c:ser>
        <c:ser>
          <c:idx val="2"/>
          <c:order val="2"/>
          <c:tx>
            <c:strRef>
              <c:f>Sheet1!$A$4</c:f>
              <c:strCache>
                <c:ptCount val="1"/>
                <c:pt idx="0">
                  <c:v>Splendid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cat>
            <c:strRef>
              <c:f>Sheet1!$B$1:$M$1</c:f>
              <c:strCache>
                <c:ptCount val="12"/>
                <c:pt idx="0">
                  <c:v>I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V</c:v>
                </c:pt>
                <c:pt idx="5">
                  <c:v>VI</c:v>
                </c:pt>
                <c:pt idx="6">
                  <c:v>VII</c:v>
                </c:pt>
                <c:pt idx="7">
                  <c:v>VIII</c:v>
                </c:pt>
                <c:pt idx="8">
                  <c:v>IX</c:v>
                </c:pt>
                <c:pt idx="9">
                  <c:v>X</c:v>
                </c:pt>
                <c:pt idx="10">
                  <c:v>XI</c:v>
                </c:pt>
                <c:pt idx="11">
                  <c:v>XII</c:v>
                </c:pt>
              </c:strCache>
            </c:strRef>
          </c:cat>
          <c:val>
            <c:numRef>
              <c:f>Sheet1!$B$4:$M$4</c:f>
              <c:numCache>
                <c:formatCode>#,##0.00</c:formatCode>
                <c:ptCount val="12"/>
                <c:pt idx="0">
                  <c:v>0</c:v>
                </c:pt>
                <c:pt idx="1">
                  <c:v>200</c:v>
                </c:pt>
                <c:pt idx="2">
                  <c:v>400</c:v>
                </c:pt>
                <c:pt idx="3">
                  <c:v>1000</c:v>
                </c:pt>
                <c:pt idx="4">
                  <c:v>1500</c:v>
                </c:pt>
                <c:pt idx="5">
                  <c:v>1500</c:v>
                </c:pt>
                <c:pt idx="6">
                  <c:v>1200</c:v>
                </c:pt>
                <c:pt idx="7">
                  <c:v>2000</c:v>
                </c:pt>
                <c:pt idx="8">
                  <c:v>1500</c:v>
                </c:pt>
                <c:pt idx="9">
                  <c:v>500</c:v>
                </c:pt>
                <c:pt idx="10">
                  <c:v>50</c:v>
                </c:pt>
                <c:pt idx="11">
                  <c:v>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55B-4AFE-85E7-D00CDD4AAF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8376335"/>
        <c:axId val="1"/>
        <c:axId val="2"/>
      </c:line3DChart>
      <c:catAx>
        <c:axId val="3183763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2050" b="1" i="0" u="none" strike="noStrike" baseline="0">
                    <a:solidFill>
                      <a:srgbClr val="00FF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hr-HR"/>
                  <a:t>mjesec</a:t>
                </a:r>
              </a:p>
            </c:rich>
          </c:tx>
          <c:layout>
            <c:manualLayout>
              <c:xMode val="edge"/>
              <c:yMode val="edge"/>
              <c:x val="0.25931651555444835"/>
              <c:y val="0.7836908304964672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FFFF00"/>
                </a:solidFill>
                <a:latin typeface="Arial"/>
                <a:ea typeface="Arial"/>
                <a:cs typeface="Arial"/>
              </a:defRPr>
            </a:pPr>
            <a:endParaRPr lang="sr-Latn-R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3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hr-HR"/>
                  <a:t>Prihod (kn)</a:t>
                </a:r>
              </a:p>
            </c:rich>
          </c:tx>
          <c:layout>
            <c:manualLayout>
              <c:xMode val="edge"/>
              <c:yMode val="edge"/>
              <c:x val="1.0638626279156854E-2"/>
              <c:y val="0.41723258299671079"/>
            </c:manualLayout>
          </c:layout>
          <c:overlay val="0"/>
          <c:spPr>
            <a:noFill/>
            <a:ln w="25400">
              <a:noFill/>
            </a:ln>
          </c:spPr>
        </c:title>
        <c:numFmt formatCode="#,##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375" b="0" i="0" u="none" strike="noStrike" baseline="0">
                <a:solidFill>
                  <a:srgbClr val="FFFF00"/>
                </a:solidFill>
                <a:latin typeface="Arial"/>
                <a:ea typeface="Arial"/>
                <a:cs typeface="Arial"/>
              </a:defRPr>
            </a:pPr>
            <a:endParaRPr lang="sr-Latn-RS"/>
          </a:p>
        </c:txPr>
        <c:crossAx val="318376335"/>
        <c:crosses val="autoZero"/>
        <c:crossBetween val="between"/>
      </c:valAx>
      <c:serAx>
        <c:axId val="2"/>
        <c:scaling>
          <c:orientation val="minMax"/>
        </c:scaling>
        <c:delete val="1"/>
        <c:axPos val="b"/>
        <c:majorTickMark val="out"/>
        <c:minorTickMark val="none"/>
        <c:tickLblPos val="nextTo"/>
        <c:crossAx val="1"/>
        <c:crosses val="autoZero"/>
      </c:ser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8750578817013958"/>
          <c:y val="0.88523950149037567"/>
          <c:w val="0.42953453602095804"/>
          <c:h val="9.0510771972831444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4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sr-Latn-RS"/>
        </a:p>
      </c:txPr>
    </c:legend>
    <c:plotVisOnly val="1"/>
    <c:dispBlanksAs val="gap"/>
    <c:showDLblsOverMax val="0"/>
  </c:chart>
  <c:spPr>
    <a:blipFill dpi="0" rotWithShape="0">
      <a:blip xmlns:r="http://schemas.openxmlformats.org/officeDocument/2006/relationships" r:embed="rId2"/>
      <a:srcRect/>
      <a:stretch>
        <a:fillRect/>
      </a:stretch>
    </a:blip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sr-Latn-RS"/>
    </a:p>
  </c:txPr>
  <c:printSettings>
    <c:headerFooter alignWithMargins="0"/>
    <c:pageMargins b="1" l="0.75" r="0.7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hr-HR"/>
              <a:t>trend</a:t>
            </a:r>
          </a:p>
        </c:rich>
      </c:tx>
      <c:layout>
        <c:manualLayout>
          <c:xMode val="edge"/>
          <c:yMode val="edge"/>
          <c:x val="0.47153357473656121"/>
          <c:y val="3.563587014924247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930903522420154"/>
          <c:y val="0.16036141567159115"/>
          <c:w val="0.69305941521682501"/>
          <c:h val="0.68376325848858988"/>
        </c:manualLayout>
      </c:layout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I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Sheet1!$A$2:$A$4</c:f>
              <c:strCache>
                <c:ptCount val="3"/>
                <c:pt idx="0">
                  <c:v>Vis</c:v>
                </c:pt>
                <c:pt idx="1">
                  <c:v>Uvala</c:v>
                </c:pt>
                <c:pt idx="2">
                  <c:v>Splendid</c:v>
                </c:pt>
              </c:strCache>
            </c:strRef>
          </c:cat>
          <c:val>
            <c:numRef>
              <c:f>Sheet1!$B$2:$B$4</c:f>
              <c:numCache>
                <c:formatCode>#,##0.00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B1-406D-BF85-9E9EA9BE6F38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II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strRef>
              <c:f>Sheet1!$A$2:$A$4</c:f>
              <c:strCache>
                <c:ptCount val="3"/>
                <c:pt idx="0">
                  <c:v>Vis</c:v>
                </c:pt>
                <c:pt idx="1">
                  <c:v>Uvala</c:v>
                </c:pt>
                <c:pt idx="2">
                  <c:v>Splendid</c:v>
                </c:pt>
              </c:strCache>
            </c:strRef>
          </c:cat>
          <c:val>
            <c:numRef>
              <c:f>Sheet1!$C$2:$C$4</c:f>
              <c:numCache>
                <c:formatCode>#,##0.00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B1-406D-BF85-9E9EA9BE6F38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III</c:v>
                </c:pt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strRef>
              <c:f>Sheet1!$A$2:$A$4</c:f>
              <c:strCache>
                <c:ptCount val="3"/>
                <c:pt idx="0">
                  <c:v>Vis</c:v>
                </c:pt>
                <c:pt idx="1">
                  <c:v>Uvala</c:v>
                </c:pt>
                <c:pt idx="2">
                  <c:v>Splendid</c:v>
                </c:pt>
              </c:strCache>
            </c:strRef>
          </c:cat>
          <c:val>
            <c:numRef>
              <c:f>Sheet1!$D$2:$D$4</c:f>
              <c:numCache>
                <c:formatCode>#,##0.00</c:formatCode>
                <c:ptCount val="3"/>
                <c:pt idx="0">
                  <c:v>1000</c:v>
                </c:pt>
                <c:pt idx="1">
                  <c:v>0</c:v>
                </c:pt>
                <c:pt idx="2">
                  <c:v>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8B1-406D-BF85-9E9EA9BE6F38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IV</c:v>
                </c:pt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strRef>
              <c:f>Sheet1!$A$2:$A$4</c:f>
              <c:strCache>
                <c:ptCount val="3"/>
                <c:pt idx="0">
                  <c:v>Vis</c:v>
                </c:pt>
                <c:pt idx="1">
                  <c:v>Uvala</c:v>
                </c:pt>
                <c:pt idx="2">
                  <c:v>Splendid</c:v>
                </c:pt>
              </c:strCache>
            </c:strRef>
          </c:cat>
          <c:val>
            <c:numRef>
              <c:f>Sheet1!$E$2:$E$4</c:f>
              <c:numCache>
                <c:formatCode>#,##0.00</c:formatCode>
                <c:ptCount val="3"/>
                <c:pt idx="0">
                  <c:v>2000</c:v>
                </c:pt>
                <c:pt idx="1">
                  <c:v>2000</c:v>
                </c:pt>
                <c:pt idx="2">
                  <c:v>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8B1-406D-BF85-9E9EA9BE6F38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V</c:v>
                </c:pt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strRef>
              <c:f>Sheet1!$A$2:$A$4</c:f>
              <c:strCache>
                <c:ptCount val="3"/>
                <c:pt idx="0">
                  <c:v>Vis</c:v>
                </c:pt>
                <c:pt idx="1">
                  <c:v>Uvala</c:v>
                </c:pt>
                <c:pt idx="2">
                  <c:v>Splendid</c:v>
                </c:pt>
              </c:strCache>
            </c:strRef>
          </c:cat>
          <c:val>
            <c:numRef>
              <c:f>Sheet1!$F$2:$F$4</c:f>
              <c:numCache>
                <c:formatCode>#,##0.00</c:formatCode>
                <c:ptCount val="3"/>
                <c:pt idx="0">
                  <c:v>3000</c:v>
                </c:pt>
                <c:pt idx="1">
                  <c:v>2500</c:v>
                </c:pt>
                <c:pt idx="2">
                  <c:v>1500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8B1-406D-BF85-9E9EA9BE6F38}"/>
            </c:ext>
          </c:extLst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VI</c:v>
                </c:pt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cat>
            <c:strRef>
              <c:f>Sheet1!$A$2:$A$4</c:f>
              <c:strCache>
                <c:ptCount val="3"/>
                <c:pt idx="0">
                  <c:v>Vis</c:v>
                </c:pt>
                <c:pt idx="1">
                  <c:v>Uvala</c:v>
                </c:pt>
                <c:pt idx="2">
                  <c:v>Splendid</c:v>
                </c:pt>
              </c:strCache>
            </c:strRef>
          </c:cat>
          <c:val>
            <c:numRef>
              <c:f>Sheet1!$G$2:$G$4</c:f>
              <c:numCache>
                <c:formatCode>#,##0.00</c:formatCode>
                <c:ptCount val="3"/>
                <c:pt idx="0">
                  <c:v>2000</c:v>
                </c:pt>
                <c:pt idx="1">
                  <c:v>3000</c:v>
                </c:pt>
                <c:pt idx="2">
                  <c:v>1500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8B1-406D-BF85-9E9EA9BE6F38}"/>
            </c:ext>
          </c:extLst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VII</c:v>
                </c:pt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8080"/>
                </a:solidFill>
                <a:prstDash val="solid"/>
              </a:ln>
            </c:spPr>
          </c:marker>
          <c:cat>
            <c:strRef>
              <c:f>Sheet1!$A$2:$A$4</c:f>
              <c:strCache>
                <c:ptCount val="3"/>
                <c:pt idx="0">
                  <c:v>Vis</c:v>
                </c:pt>
                <c:pt idx="1">
                  <c:v>Uvala</c:v>
                </c:pt>
                <c:pt idx="2">
                  <c:v>Splendid</c:v>
                </c:pt>
              </c:strCache>
            </c:strRef>
          </c:cat>
          <c:val>
            <c:numRef>
              <c:f>Sheet1!$H$2:$H$4</c:f>
              <c:numCache>
                <c:formatCode>#,##0.00</c:formatCode>
                <c:ptCount val="3"/>
                <c:pt idx="0">
                  <c:v>1000</c:v>
                </c:pt>
                <c:pt idx="1">
                  <c:v>3000</c:v>
                </c:pt>
                <c:pt idx="2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8B1-406D-BF85-9E9EA9BE6F38}"/>
            </c:ext>
          </c:extLst>
        </c:ser>
        <c:ser>
          <c:idx val="7"/>
          <c:order val="7"/>
          <c:tx>
            <c:strRef>
              <c:f>Sheet1!$I$1</c:f>
              <c:strCache>
                <c:ptCount val="1"/>
                <c:pt idx="0">
                  <c:v>VIII</c:v>
                </c:pt>
              </c:strCache>
            </c:strRef>
          </c:tx>
          <c:spPr>
            <a:ln w="12700">
              <a:solidFill>
                <a:srgbClr val="FF9900"/>
              </a:solidFill>
              <a:prstDash val="solid"/>
            </a:ln>
          </c:spPr>
          <c:marker>
            <c:symbol val="dot"/>
            <c:size val="5"/>
            <c:spPr>
              <a:solidFill>
                <a:srgbClr val="FF9900"/>
              </a:solidFill>
              <a:ln>
                <a:solidFill>
                  <a:srgbClr val="FF9900"/>
                </a:solidFill>
                <a:prstDash val="solid"/>
              </a:ln>
            </c:spPr>
          </c:marker>
          <c:cat>
            <c:strRef>
              <c:f>Sheet1!$A$2:$A$4</c:f>
              <c:strCache>
                <c:ptCount val="3"/>
                <c:pt idx="0">
                  <c:v>Vis</c:v>
                </c:pt>
                <c:pt idx="1">
                  <c:v>Uvala</c:v>
                </c:pt>
                <c:pt idx="2">
                  <c:v>Splendid</c:v>
                </c:pt>
              </c:strCache>
            </c:strRef>
          </c:cat>
          <c:val>
            <c:numRef>
              <c:f>Sheet1!$I$2:$I$4</c:f>
              <c:numCache>
                <c:formatCode>#,##0.00</c:formatCode>
                <c:ptCount val="3"/>
                <c:pt idx="0">
                  <c:v>4000</c:v>
                </c:pt>
                <c:pt idx="1">
                  <c:v>2000</c:v>
                </c:pt>
                <c:pt idx="2">
                  <c:v>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8B1-406D-BF85-9E9EA9BE6F38}"/>
            </c:ext>
          </c:extLst>
        </c:ser>
        <c:ser>
          <c:idx val="8"/>
          <c:order val="8"/>
          <c:tx>
            <c:strRef>
              <c:f>Sheet1!$J$1</c:f>
              <c:strCache>
                <c:ptCount val="1"/>
                <c:pt idx="0">
                  <c:v>IX</c:v>
                </c:pt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00CCFF"/>
                </a:solidFill>
                <a:prstDash val="solid"/>
              </a:ln>
            </c:spPr>
          </c:marker>
          <c:cat>
            <c:strRef>
              <c:f>Sheet1!$A$2:$A$4</c:f>
              <c:strCache>
                <c:ptCount val="3"/>
                <c:pt idx="0">
                  <c:v>Vis</c:v>
                </c:pt>
                <c:pt idx="1">
                  <c:v>Uvala</c:v>
                </c:pt>
                <c:pt idx="2">
                  <c:v>Splendid</c:v>
                </c:pt>
              </c:strCache>
            </c:strRef>
          </c:cat>
          <c:val>
            <c:numRef>
              <c:f>Sheet1!$J$2:$J$4</c:f>
              <c:numCache>
                <c:formatCode>#,##0.00</c:formatCode>
                <c:ptCount val="3"/>
                <c:pt idx="0">
                  <c:v>3000</c:v>
                </c:pt>
                <c:pt idx="1">
                  <c:v>1500</c:v>
                </c:pt>
                <c:pt idx="2">
                  <c:v>1500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8B1-406D-BF85-9E9EA9BE6F38}"/>
            </c:ext>
          </c:extLst>
        </c:ser>
        <c:ser>
          <c:idx val="9"/>
          <c:order val="9"/>
          <c:tx>
            <c:strRef>
              <c:f>Sheet1!$K$1</c:f>
              <c:strCache>
                <c:ptCount val="1"/>
                <c:pt idx="0">
                  <c:v>X</c:v>
                </c:pt>
              </c:strCache>
            </c:strRef>
          </c:tx>
          <c:spPr>
            <a:ln w="12700">
              <a:solidFill>
                <a:srgbClr val="CCFFFF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CCFFFF"/>
              </a:solidFill>
              <a:ln>
                <a:solidFill>
                  <a:srgbClr val="CCFFFF"/>
                </a:solidFill>
                <a:prstDash val="solid"/>
              </a:ln>
            </c:spPr>
          </c:marker>
          <c:cat>
            <c:strRef>
              <c:f>Sheet1!$A$2:$A$4</c:f>
              <c:strCache>
                <c:ptCount val="3"/>
                <c:pt idx="0">
                  <c:v>Vis</c:v>
                </c:pt>
                <c:pt idx="1">
                  <c:v>Uvala</c:v>
                </c:pt>
                <c:pt idx="2">
                  <c:v>Splendid</c:v>
                </c:pt>
              </c:strCache>
            </c:strRef>
          </c:cat>
          <c:val>
            <c:numRef>
              <c:f>Sheet1!$K$2:$K$4</c:f>
              <c:numCache>
                <c:formatCode>#,##0.00</c:formatCode>
                <c:ptCount val="3"/>
                <c:pt idx="0">
                  <c:v>0</c:v>
                </c:pt>
                <c:pt idx="1">
                  <c:v>1000</c:v>
                </c:pt>
                <c:pt idx="2">
                  <c:v>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8B1-406D-BF85-9E9EA9BE6F38}"/>
            </c:ext>
          </c:extLst>
        </c:ser>
        <c:ser>
          <c:idx val="10"/>
          <c:order val="10"/>
          <c:tx>
            <c:strRef>
              <c:f>Sheet1!$L$1</c:f>
              <c:strCache>
                <c:ptCount val="1"/>
                <c:pt idx="0">
                  <c:v>XI</c:v>
                </c:pt>
              </c:strCache>
            </c:strRef>
          </c:tx>
          <c:spPr>
            <a:ln w="12700">
              <a:solidFill>
                <a:srgbClr val="CCFFCC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CCFFCC"/>
              </a:solidFill>
              <a:ln>
                <a:solidFill>
                  <a:srgbClr val="CCFFCC"/>
                </a:solidFill>
                <a:prstDash val="solid"/>
              </a:ln>
            </c:spPr>
          </c:marker>
          <c:cat>
            <c:strRef>
              <c:f>Sheet1!$A$2:$A$4</c:f>
              <c:strCache>
                <c:ptCount val="3"/>
                <c:pt idx="0">
                  <c:v>Vis</c:v>
                </c:pt>
                <c:pt idx="1">
                  <c:v>Uvala</c:v>
                </c:pt>
                <c:pt idx="2">
                  <c:v>Splendid</c:v>
                </c:pt>
              </c:strCache>
            </c:strRef>
          </c:cat>
          <c:val>
            <c:numRef>
              <c:f>Sheet1!$L$2:$L$4</c:f>
              <c:numCache>
                <c:formatCode>#,##0.00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8B1-406D-BF85-9E9EA9BE6F38}"/>
            </c:ext>
          </c:extLst>
        </c:ser>
        <c:ser>
          <c:idx val="11"/>
          <c:order val="11"/>
          <c:tx>
            <c:strRef>
              <c:f>Sheet1!$M$1</c:f>
              <c:strCache>
                <c:ptCount val="1"/>
                <c:pt idx="0">
                  <c:v>XII</c:v>
                </c:pt>
              </c:strCache>
            </c:strRef>
          </c:tx>
          <c:spPr>
            <a:ln w="12700">
              <a:solidFill>
                <a:srgbClr val="FFFF99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99"/>
              </a:solidFill>
              <a:ln>
                <a:solidFill>
                  <a:srgbClr val="FFFF99"/>
                </a:solidFill>
                <a:prstDash val="solid"/>
              </a:ln>
            </c:spPr>
          </c:marker>
          <c:cat>
            <c:strRef>
              <c:f>Sheet1!$A$2:$A$4</c:f>
              <c:strCache>
                <c:ptCount val="3"/>
                <c:pt idx="0">
                  <c:v>Vis</c:v>
                </c:pt>
                <c:pt idx="1">
                  <c:v>Uvala</c:v>
                </c:pt>
                <c:pt idx="2">
                  <c:v>Splendid</c:v>
                </c:pt>
              </c:strCache>
            </c:strRef>
          </c:cat>
          <c:val>
            <c:numRef>
              <c:f>Sheet1!$M$2:$M$4</c:f>
              <c:numCache>
                <c:formatCode>#,##0.00</c:formatCode>
                <c:ptCount val="3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B8B1-406D-BF85-9E9EA9BE6F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5185967"/>
        <c:axId val="1"/>
      </c:lineChart>
      <c:catAx>
        <c:axId val="4151859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hr-HR"/>
                  <a:t>hotel</a:t>
                </a:r>
              </a:p>
            </c:rich>
          </c:tx>
          <c:layout>
            <c:manualLayout>
              <c:xMode val="edge"/>
              <c:yMode val="edge"/>
              <c:x val="0.4905215039205838"/>
              <c:y val="0.9153964144586660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r-Latn-R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hr-HR"/>
                  <a:t>noćenja</a:t>
                </a:r>
              </a:p>
            </c:rich>
          </c:tx>
          <c:layout>
            <c:manualLayout>
              <c:xMode val="edge"/>
              <c:yMode val="edge"/>
              <c:x val="3.0064221208035789E-2"/>
              <c:y val="0.4499028606341862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r-Latn-RS"/>
          </a:p>
        </c:txPr>
        <c:crossAx val="415185967"/>
        <c:crosses val="autoZero"/>
        <c:crossBetween val="between"/>
      </c:valAx>
      <c:spPr>
        <a:gradFill rotWithShape="0">
          <a:gsLst>
            <a:gs pos="0">
              <a:srgbClr xmlns:mc="http://schemas.openxmlformats.org/markup-compatibility/2006" xmlns:a14="http://schemas.microsoft.com/office/drawing/2010/main" val="CC99FF" mc:Ignorable="a14" a14:legacySpreadsheetColorIndex="46"/>
            </a:gs>
            <a:gs pos="100000">
              <a:srgbClr xmlns:mc="http://schemas.openxmlformats.org/markup-compatibility/2006" xmlns:a14="http://schemas.microsoft.com/office/drawing/2010/main" val="AF83DB" mc:Ignorable="a14" a14:legacySpreadsheetColorIndex="46">
                <a:gamma/>
                <a:shade val="85882"/>
                <a:invGamma/>
              </a:srgbClr>
            </a:gs>
          </a:gsLst>
          <a:lin ang="5400000" scaled="1"/>
        </a:gra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8293870705705102"/>
          <c:y val="0.2071334952424719"/>
          <c:w val="0.10126895564812054"/>
          <c:h val="0.5902190993468284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5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sr-Latn-R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sr-Latn-R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15240</xdr:rowOff>
    </xdr:from>
    <xdr:to>
      <xdr:col>11</xdr:col>
      <xdr:colOff>441960</xdr:colOff>
      <xdr:row>26</xdr:row>
      <xdr:rowOff>76200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84DC97AB-B7B7-27BB-02F1-1337CDCC1F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76200</xdr:colOff>
      <xdr:row>34</xdr:row>
      <xdr:rowOff>106680</xdr:rowOff>
    </xdr:from>
    <xdr:to>
      <xdr:col>15</xdr:col>
      <xdr:colOff>205740</xdr:colOff>
      <xdr:row>55</xdr:row>
      <xdr:rowOff>91440</xdr:rowOff>
    </xdr:to>
    <xdr:graphicFrame macro="">
      <xdr:nvGraphicFramePr>
        <xdr:cNvPr id="1026" name="Chart 2">
          <a:extLst>
            <a:ext uri="{FF2B5EF4-FFF2-40B4-BE49-F238E27FC236}">
              <a16:creationId xmlns:a16="http://schemas.microsoft.com/office/drawing/2014/main" id="{8CD29630-525B-F4B2-7C05-604EA622DD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434340</xdr:colOff>
      <xdr:row>9</xdr:row>
      <xdr:rowOff>45720</xdr:rowOff>
    </xdr:from>
    <xdr:to>
      <xdr:col>24</xdr:col>
      <xdr:colOff>358140</xdr:colOff>
      <xdr:row>26</xdr:row>
      <xdr:rowOff>114300</xdr:rowOff>
    </xdr:to>
    <xdr:graphicFrame macro="">
      <xdr:nvGraphicFramePr>
        <xdr:cNvPr id="1027" name="Chart 3">
          <a:extLst>
            <a:ext uri="{FF2B5EF4-FFF2-40B4-BE49-F238E27FC236}">
              <a16:creationId xmlns:a16="http://schemas.microsoft.com/office/drawing/2014/main" id="{2434C333-2177-36B4-FB00-C38E31C2B0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396240</xdr:colOff>
      <xdr:row>7</xdr:row>
      <xdr:rowOff>68580</xdr:rowOff>
    </xdr:from>
    <xdr:to>
      <xdr:col>15</xdr:col>
      <xdr:colOff>243840</xdr:colOff>
      <xdr:row>32</xdr:row>
      <xdr:rowOff>91440</xdr:rowOff>
    </xdr:to>
    <xdr:graphicFrame macro="">
      <xdr:nvGraphicFramePr>
        <xdr:cNvPr id="1028" name="Chart 4">
          <a:extLst>
            <a:ext uri="{FF2B5EF4-FFF2-40B4-BE49-F238E27FC236}">
              <a16:creationId xmlns:a16="http://schemas.microsoft.com/office/drawing/2014/main" id="{8A937943-3F3A-F3E0-2406-36731853EB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434340</xdr:colOff>
      <xdr:row>12</xdr:row>
      <xdr:rowOff>38100</xdr:rowOff>
    </xdr:from>
    <xdr:to>
      <xdr:col>14</xdr:col>
      <xdr:colOff>320040</xdr:colOff>
      <xdr:row>37</xdr:row>
      <xdr:rowOff>30480</xdr:rowOff>
    </xdr:to>
    <xdr:graphicFrame macro="">
      <xdr:nvGraphicFramePr>
        <xdr:cNvPr id="1029" name="Chart 5">
          <a:extLst>
            <a:ext uri="{FF2B5EF4-FFF2-40B4-BE49-F238E27FC236}">
              <a16:creationId xmlns:a16="http://schemas.microsoft.com/office/drawing/2014/main" id="{3B5E1039-E7F7-9BF9-DB45-AFDFF3E380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E853A-692E-4B61-A049-1669F75225D2}">
  <dimension ref="A1:P9"/>
  <sheetViews>
    <sheetView tabSelected="1" workbookViewId="0">
      <selection sqref="A1:M4"/>
    </sheetView>
  </sheetViews>
  <sheetFormatPr defaultRowHeight="13.2" x14ac:dyDescent="0.25"/>
  <cols>
    <col min="1" max="1" width="10" bestFit="1" customWidth="1"/>
    <col min="2" max="13" width="8.6640625" customWidth="1"/>
    <col min="14" max="14" width="12" style="1" customWidth="1"/>
    <col min="15" max="15" width="8.6640625" style="1" customWidth="1"/>
    <col min="16" max="16" width="8.88671875" customWidth="1"/>
  </cols>
  <sheetData>
    <row r="1" spans="1:16" ht="13.8" thickTop="1" x14ac:dyDescent="0.25">
      <c r="A1" s="2"/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11</v>
      </c>
      <c r="K1" s="3" t="s">
        <v>12</v>
      </c>
      <c r="L1" s="3" t="s">
        <v>13</v>
      </c>
      <c r="M1" s="3" t="s">
        <v>14</v>
      </c>
      <c r="N1" s="4" t="s">
        <v>15</v>
      </c>
      <c r="O1" s="4" t="s">
        <v>16</v>
      </c>
      <c r="P1" s="5" t="s">
        <v>17</v>
      </c>
    </row>
    <row r="2" spans="1:16" x14ac:dyDescent="0.25">
      <c r="A2" s="6" t="s">
        <v>0</v>
      </c>
      <c r="B2" s="20">
        <v>0</v>
      </c>
      <c r="C2" s="20">
        <v>0</v>
      </c>
      <c r="D2" s="20">
        <v>1000</v>
      </c>
      <c r="E2" s="20">
        <v>2000</v>
      </c>
      <c r="F2" s="20">
        <v>3000</v>
      </c>
      <c r="G2" s="20">
        <v>2000</v>
      </c>
      <c r="H2" s="20">
        <v>1000</v>
      </c>
      <c r="I2" s="20">
        <v>4000</v>
      </c>
      <c r="J2" s="20">
        <v>3000</v>
      </c>
      <c r="K2" s="20">
        <v>0</v>
      </c>
      <c r="L2" s="20">
        <v>0</v>
      </c>
      <c r="M2" s="20">
        <v>0</v>
      </c>
      <c r="N2" s="21">
        <f>SUM(B2:M2)</f>
        <v>16000</v>
      </c>
      <c r="O2" s="21">
        <f>AVERAGE(B2:M2)</f>
        <v>1333.3333333333333</v>
      </c>
      <c r="P2" s="10">
        <f>COUNTIF(B2:M2,"&lt;&gt;0")</f>
        <v>7</v>
      </c>
    </row>
    <row r="3" spans="1:16" x14ac:dyDescent="0.25">
      <c r="A3" s="6" t="s">
        <v>1</v>
      </c>
      <c r="B3" s="20">
        <v>0</v>
      </c>
      <c r="C3" s="20">
        <v>0</v>
      </c>
      <c r="D3" s="20">
        <v>0</v>
      </c>
      <c r="E3" s="20">
        <v>2000</v>
      </c>
      <c r="F3" s="20">
        <v>2500</v>
      </c>
      <c r="G3" s="20">
        <v>3000</v>
      </c>
      <c r="H3" s="20">
        <v>3000</v>
      </c>
      <c r="I3" s="20">
        <v>2000</v>
      </c>
      <c r="J3" s="20">
        <v>1500</v>
      </c>
      <c r="K3" s="20">
        <v>1000</v>
      </c>
      <c r="L3" s="20">
        <v>0</v>
      </c>
      <c r="M3" s="20">
        <v>100</v>
      </c>
      <c r="N3" s="21">
        <f>SUM(B3:M3)</f>
        <v>15100</v>
      </c>
      <c r="O3" s="21">
        <f>AVERAGE(B3:M3)</f>
        <v>1258.3333333333333</v>
      </c>
      <c r="P3" s="10">
        <f>COUNTIF(B3:M3,"&lt;&gt;0")</f>
        <v>8</v>
      </c>
    </row>
    <row r="4" spans="1:16" x14ac:dyDescent="0.25">
      <c r="A4" s="6" t="s">
        <v>2</v>
      </c>
      <c r="B4" s="20">
        <v>0</v>
      </c>
      <c r="C4" s="20">
        <v>200</v>
      </c>
      <c r="D4" s="20">
        <v>400</v>
      </c>
      <c r="E4" s="20">
        <v>1000</v>
      </c>
      <c r="F4" s="20">
        <v>1500</v>
      </c>
      <c r="G4" s="20">
        <v>1500</v>
      </c>
      <c r="H4" s="20">
        <v>1200</v>
      </c>
      <c r="I4" s="20">
        <v>2000</v>
      </c>
      <c r="J4" s="20">
        <v>1500</v>
      </c>
      <c r="K4" s="20">
        <v>500</v>
      </c>
      <c r="L4" s="20">
        <v>50</v>
      </c>
      <c r="M4" s="20">
        <v>200</v>
      </c>
      <c r="N4" s="21">
        <f>SUM(B4:M4)</f>
        <v>10050</v>
      </c>
      <c r="O4" s="21">
        <f>AVERAGE(B4:M4)</f>
        <v>837.5</v>
      </c>
      <c r="P4" s="10">
        <f>COUNTIF(B4:M4,"&lt;&gt;0")</f>
        <v>11</v>
      </c>
    </row>
    <row r="5" spans="1:16" x14ac:dyDescent="0.25">
      <c r="A5" s="6" t="s">
        <v>15</v>
      </c>
      <c r="B5" s="21">
        <f>SUM(B2:B4)</f>
        <v>0</v>
      </c>
      <c r="C5" s="21">
        <f t="shared" ref="C5:N5" si="0">SUM(C2:C4)</f>
        <v>200</v>
      </c>
      <c r="D5" s="21">
        <f t="shared" si="0"/>
        <v>1400</v>
      </c>
      <c r="E5" s="21">
        <f t="shared" si="0"/>
        <v>5000</v>
      </c>
      <c r="F5" s="21">
        <f t="shared" si="0"/>
        <v>7000</v>
      </c>
      <c r="G5" s="21">
        <f t="shared" si="0"/>
        <v>6500</v>
      </c>
      <c r="H5" s="21">
        <f t="shared" si="0"/>
        <v>5200</v>
      </c>
      <c r="I5" s="21">
        <f t="shared" si="0"/>
        <v>8000</v>
      </c>
      <c r="J5" s="21">
        <f t="shared" si="0"/>
        <v>6000</v>
      </c>
      <c r="K5" s="21">
        <f t="shared" si="0"/>
        <v>1500</v>
      </c>
      <c r="L5" s="21">
        <f t="shared" si="0"/>
        <v>50</v>
      </c>
      <c r="M5" s="21">
        <f t="shared" si="0"/>
        <v>300</v>
      </c>
      <c r="N5" s="21">
        <f t="shared" si="0"/>
        <v>41150</v>
      </c>
      <c r="O5" s="21">
        <f>AVERAGE(B5:M5)</f>
        <v>3429.1666666666665</v>
      </c>
      <c r="P5" s="12"/>
    </row>
    <row r="6" spans="1:16" x14ac:dyDescent="0.25">
      <c r="A6" s="6" t="s">
        <v>16</v>
      </c>
      <c r="B6" s="21">
        <f>AVERAGE(B2:B4)</f>
        <v>0</v>
      </c>
      <c r="C6" s="21">
        <f t="shared" ref="C6:N6" si="1">AVERAGE(C2:C4)</f>
        <v>66.666666666666671</v>
      </c>
      <c r="D6" s="21">
        <f t="shared" si="1"/>
        <v>466.66666666666669</v>
      </c>
      <c r="E6" s="21">
        <f t="shared" si="1"/>
        <v>1666.6666666666667</v>
      </c>
      <c r="F6" s="21">
        <f t="shared" si="1"/>
        <v>2333.3333333333335</v>
      </c>
      <c r="G6" s="21">
        <f t="shared" si="1"/>
        <v>2166.6666666666665</v>
      </c>
      <c r="H6" s="21">
        <f t="shared" si="1"/>
        <v>1733.3333333333333</v>
      </c>
      <c r="I6" s="21">
        <f t="shared" si="1"/>
        <v>2666.6666666666665</v>
      </c>
      <c r="J6" s="21">
        <f t="shared" si="1"/>
        <v>2000</v>
      </c>
      <c r="K6" s="21">
        <f t="shared" si="1"/>
        <v>500</v>
      </c>
      <c r="L6" s="21">
        <f t="shared" si="1"/>
        <v>16.666666666666668</v>
      </c>
      <c r="M6" s="21">
        <f t="shared" si="1"/>
        <v>100</v>
      </c>
      <c r="N6" s="21">
        <f t="shared" si="1"/>
        <v>13716.666666666666</v>
      </c>
      <c r="O6" s="22"/>
      <c r="P6" s="14"/>
    </row>
    <row r="7" spans="1:16" ht="13.8" thickBot="1" x14ac:dyDescent="0.3">
      <c r="A7" s="8" t="s">
        <v>17</v>
      </c>
      <c r="B7" s="11">
        <f>COUNTIF(B2:B4,"&gt;0")</f>
        <v>0</v>
      </c>
      <c r="C7" s="11">
        <f t="shared" ref="C7:M7" si="2">COUNTIF(C2:C4,"&lt;&gt;0")</f>
        <v>1</v>
      </c>
      <c r="D7" s="11">
        <f t="shared" si="2"/>
        <v>2</v>
      </c>
      <c r="E7" s="11">
        <f t="shared" si="2"/>
        <v>3</v>
      </c>
      <c r="F7" s="11">
        <f t="shared" si="2"/>
        <v>3</v>
      </c>
      <c r="G7" s="11">
        <f t="shared" si="2"/>
        <v>3</v>
      </c>
      <c r="H7" s="11">
        <f t="shared" si="2"/>
        <v>3</v>
      </c>
      <c r="I7" s="11">
        <f t="shared" si="2"/>
        <v>3</v>
      </c>
      <c r="J7" s="11">
        <f t="shared" si="2"/>
        <v>3</v>
      </c>
      <c r="K7" s="11">
        <f t="shared" si="2"/>
        <v>2</v>
      </c>
      <c r="L7" s="11">
        <f t="shared" si="2"/>
        <v>1</v>
      </c>
      <c r="M7" s="11">
        <f t="shared" si="2"/>
        <v>2</v>
      </c>
      <c r="N7" s="16"/>
      <c r="O7" s="17"/>
      <c r="P7" s="15"/>
    </row>
    <row r="8" spans="1:16" ht="13.8" thickTop="1" x14ac:dyDescent="0.25">
      <c r="B8">
        <f>COUNTIF(B2:B4,"&gt;0")</f>
        <v>0</v>
      </c>
      <c r="C8">
        <f t="shared" ref="C8:J8" si="3">COUNTIF(C2:C4,"&gt;0")</f>
        <v>1</v>
      </c>
      <c r="D8">
        <f t="shared" si="3"/>
        <v>2</v>
      </c>
      <c r="E8">
        <f t="shared" si="3"/>
        <v>3</v>
      </c>
      <c r="F8">
        <f t="shared" si="3"/>
        <v>3</v>
      </c>
      <c r="G8">
        <f t="shared" si="3"/>
        <v>3</v>
      </c>
      <c r="H8">
        <f t="shared" si="3"/>
        <v>3</v>
      </c>
      <c r="I8">
        <f t="shared" si="3"/>
        <v>3</v>
      </c>
      <c r="J8">
        <f t="shared" si="3"/>
        <v>3</v>
      </c>
    </row>
    <row r="9" spans="1:16" x14ac:dyDescent="0.25">
      <c r="B9">
        <f>D4*emu</f>
        <v>2960</v>
      </c>
    </row>
  </sheetData>
  <phoneticPr fontId="1" type="noConversion"/>
  <pageMargins left="0.75" right="0.75" top="1" bottom="1" header="0.5" footer="0.5"/>
  <pageSetup paperSize="9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19395-C823-4EA5-9424-96925F974B03}">
  <dimension ref="A1:O9"/>
  <sheetViews>
    <sheetView workbookViewId="0">
      <selection activeCell="L7" sqref="B7:L7"/>
    </sheetView>
  </sheetViews>
  <sheetFormatPr defaultRowHeight="13.2" x14ac:dyDescent="0.25"/>
  <cols>
    <col min="2" max="2" width="11.88671875" customWidth="1"/>
    <col min="3" max="3" width="12.33203125" customWidth="1"/>
    <col min="4" max="4" width="11" customWidth="1"/>
    <col min="12" max="12" width="12.88671875" customWidth="1"/>
    <col min="13" max="13" width="12.6640625" customWidth="1"/>
  </cols>
  <sheetData>
    <row r="1" spans="1:15" ht="13.8" thickTop="1" x14ac:dyDescent="0.25">
      <c r="A1" s="2"/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11</v>
      </c>
      <c r="K1" s="3" t="s">
        <v>12</v>
      </c>
      <c r="L1" s="3" t="s">
        <v>13</v>
      </c>
      <c r="M1" s="3" t="s">
        <v>14</v>
      </c>
      <c r="N1" s="4" t="s">
        <v>15</v>
      </c>
      <c r="O1" s="4" t="s">
        <v>16</v>
      </c>
    </row>
    <row r="2" spans="1:15" x14ac:dyDescent="0.25">
      <c r="A2" s="6" t="s">
        <v>0</v>
      </c>
      <c r="B2" s="7">
        <f>Sheet1!B2/euro</f>
        <v>0</v>
      </c>
      <c r="C2" s="7">
        <f>Sheet1!C2/euro</f>
        <v>0</v>
      </c>
      <c r="D2" s="7">
        <f>Sheet1!D2/euro</f>
        <v>135.13513513513513</v>
      </c>
      <c r="E2" s="7">
        <f>Sheet1!E2/euro</f>
        <v>270.27027027027026</v>
      </c>
      <c r="F2" s="7">
        <f>Sheet1!F2/euro</f>
        <v>405.40540540540536</v>
      </c>
      <c r="G2" s="7">
        <f>Sheet1!G2/euro</f>
        <v>270.27027027027026</v>
      </c>
      <c r="H2" s="7">
        <f>Sheet1!H2/euro</f>
        <v>135.13513513513513</v>
      </c>
      <c r="I2" s="7">
        <f>Sheet1!I2/euro</f>
        <v>540.54054054054052</v>
      </c>
      <c r="J2" s="7">
        <f>Sheet1!J2/euro</f>
        <v>405.40540540540536</v>
      </c>
      <c r="K2" s="7">
        <f>Sheet1!K2/euro</f>
        <v>0</v>
      </c>
      <c r="L2" s="7">
        <f>Sheet1!L2/euro</f>
        <v>0</v>
      </c>
      <c r="M2" s="7">
        <f>Sheet1!M2/euro</f>
        <v>0</v>
      </c>
      <c r="N2" s="9">
        <f>SUM(B2:M2)</f>
        <v>2162.1621621621621</v>
      </c>
      <c r="O2" s="9">
        <f>AVERAGE(B2:M2)</f>
        <v>180.18018018018017</v>
      </c>
    </row>
    <row r="3" spans="1:15" x14ac:dyDescent="0.25">
      <c r="A3" s="6" t="s">
        <v>1</v>
      </c>
      <c r="B3" s="7">
        <f>Sheet1!B3/euro</f>
        <v>0</v>
      </c>
      <c r="C3" s="7">
        <f>Sheet1!C3/euro</f>
        <v>0</v>
      </c>
      <c r="D3" s="7">
        <f>Sheet1!D3/euro</f>
        <v>0</v>
      </c>
      <c r="E3" s="7">
        <f>Sheet1!E3/euro</f>
        <v>270.27027027027026</v>
      </c>
      <c r="F3" s="7">
        <f>Sheet1!F3/euro</f>
        <v>337.83783783783781</v>
      </c>
      <c r="G3" s="7">
        <f>Sheet1!G3/euro</f>
        <v>405.40540540540536</v>
      </c>
      <c r="H3" s="7">
        <f>Sheet1!H3/euro</f>
        <v>405.40540540540536</v>
      </c>
      <c r="I3" s="7">
        <f>Sheet1!I3/euro</f>
        <v>270.27027027027026</v>
      </c>
      <c r="J3" s="7">
        <f>Sheet1!J3/euro</f>
        <v>202.70270270270268</v>
      </c>
      <c r="K3" s="7">
        <f>Sheet1!K3/euro</f>
        <v>135.13513513513513</v>
      </c>
      <c r="L3" s="7">
        <f>Sheet1!L3/euro</f>
        <v>0</v>
      </c>
      <c r="M3" s="7">
        <f>Sheet1!M3/euro</f>
        <v>13.513513513513512</v>
      </c>
      <c r="N3" s="9">
        <f>SUM(B3:M3)</f>
        <v>2040.5405405405406</v>
      </c>
      <c r="O3" s="9">
        <f>AVERAGE(B3:M3)</f>
        <v>170.04504504504504</v>
      </c>
    </row>
    <row r="4" spans="1:15" x14ac:dyDescent="0.25">
      <c r="A4" s="6" t="s">
        <v>2</v>
      </c>
      <c r="B4" s="7">
        <f>Sheet1!B4/euro</f>
        <v>0</v>
      </c>
      <c r="C4" s="7">
        <f>Sheet1!C4/euro</f>
        <v>27.027027027027025</v>
      </c>
      <c r="D4" s="7">
        <f>Sheet1!D4/euro</f>
        <v>54.054054054054049</v>
      </c>
      <c r="E4" s="7">
        <f>Sheet1!E4/euro</f>
        <v>135.13513513513513</v>
      </c>
      <c r="F4" s="7">
        <f>Sheet1!F4/euro</f>
        <v>202.70270270270268</v>
      </c>
      <c r="G4" s="7">
        <f>Sheet1!G4/euro</f>
        <v>202.70270270270268</v>
      </c>
      <c r="H4" s="7">
        <f>Sheet1!H4/euro</f>
        <v>162.16216216216216</v>
      </c>
      <c r="I4" s="7">
        <f>Sheet1!I4/euro</f>
        <v>270.27027027027026</v>
      </c>
      <c r="J4" s="7">
        <f>Sheet1!J4/euro</f>
        <v>202.70270270270268</v>
      </c>
      <c r="K4" s="7">
        <f>Sheet1!K4/euro</f>
        <v>67.567567567567565</v>
      </c>
      <c r="L4" s="7">
        <f>Sheet1!L4/euro</f>
        <v>6.7567567567567561</v>
      </c>
      <c r="M4" s="7">
        <f>Sheet1!M4/euro</f>
        <v>27.027027027027025</v>
      </c>
      <c r="N4" s="9">
        <f>SUM(B4:M4)</f>
        <v>1358.1081081081079</v>
      </c>
      <c r="O4" s="9">
        <f>AVERAGE(B4:M4)</f>
        <v>113.17567567567566</v>
      </c>
    </row>
    <row r="5" spans="1:15" x14ac:dyDescent="0.25">
      <c r="A5" s="6" t="s">
        <v>15</v>
      </c>
      <c r="B5" s="9">
        <f>SUM(B2:B4)</f>
        <v>0</v>
      </c>
      <c r="C5" s="9">
        <f t="shared" ref="C5:N5" si="0">SUM(C2:C4)</f>
        <v>27.027027027027025</v>
      </c>
      <c r="D5" s="9">
        <f t="shared" si="0"/>
        <v>189.18918918918916</v>
      </c>
      <c r="E5" s="9">
        <f t="shared" si="0"/>
        <v>675.67567567567562</v>
      </c>
      <c r="F5" s="9">
        <f t="shared" si="0"/>
        <v>945.94594594594582</v>
      </c>
      <c r="G5" s="9">
        <f t="shared" si="0"/>
        <v>878.37837837837833</v>
      </c>
      <c r="H5" s="9">
        <f t="shared" si="0"/>
        <v>702.70270270270271</v>
      </c>
      <c r="I5" s="9">
        <f t="shared" si="0"/>
        <v>1081.081081081081</v>
      </c>
      <c r="J5" s="9">
        <f t="shared" si="0"/>
        <v>810.81081081081072</v>
      </c>
      <c r="K5" s="9">
        <f t="shared" si="0"/>
        <v>202.70270270270271</v>
      </c>
      <c r="L5" s="9">
        <f t="shared" si="0"/>
        <v>6.7567567567567561</v>
      </c>
      <c r="M5" s="9">
        <f t="shared" si="0"/>
        <v>40.540540540540533</v>
      </c>
      <c r="N5" s="9">
        <f t="shared" si="0"/>
        <v>5560.8108108108099</v>
      </c>
      <c r="O5" s="9">
        <f>AVERAGE(B5:M5)</f>
        <v>463.40090090090081</v>
      </c>
    </row>
    <row r="6" spans="1:15" x14ac:dyDescent="0.25">
      <c r="A6" s="6" t="s">
        <v>16</v>
      </c>
      <c r="B6" s="9">
        <f>AVERAGE(B2:B4)</f>
        <v>0</v>
      </c>
      <c r="C6" s="9">
        <f t="shared" ref="C6:N6" si="1">AVERAGE(C2:C4)</f>
        <v>9.0090090090090076</v>
      </c>
      <c r="D6" s="9">
        <f t="shared" si="1"/>
        <v>63.063063063063055</v>
      </c>
      <c r="E6" s="9">
        <f t="shared" si="1"/>
        <v>225.22522522522522</v>
      </c>
      <c r="F6" s="9">
        <f t="shared" si="1"/>
        <v>315.31531531531527</v>
      </c>
      <c r="G6" s="9">
        <f t="shared" si="1"/>
        <v>292.7927927927928</v>
      </c>
      <c r="H6" s="9">
        <f t="shared" si="1"/>
        <v>234.23423423423424</v>
      </c>
      <c r="I6" s="9">
        <f t="shared" si="1"/>
        <v>360.36036036036035</v>
      </c>
      <c r="J6" s="9">
        <f t="shared" si="1"/>
        <v>270.27027027027026</v>
      </c>
      <c r="K6" s="9">
        <f t="shared" si="1"/>
        <v>67.567567567567565</v>
      </c>
      <c r="L6" s="9">
        <f t="shared" si="1"/>
        <v>2.2522522522522519</v>
      </c>
      <c r="M6" s="9">
        <f t="shared" si="1"/>
        <v>13.51351351351351</v>
      </c>
      <c r="N6" s="9">
        <f t="shared" si="1"/>
        <v>1853.6036036036032</v>
      </c>
      <c r="O6" s="13"/>
    </row>
    <row r="7" spans="1:15" x14ac:dyDescent="0.25">
      <c r="B7" t="str">
        <f t="shared" ref="B7:K7" si="2">IF(B5&gt;300,"DOBRO", (IF(B5&gt;200,"LOŠE","JAKO LOŠE")))</f>
        <v>JAKO LOŠE</v>
      </c>
      <c r="C7" t="str">
        <f t="shared" si="2"/>
        <v>JAKO LOŠE</v>
      </c>
      <c r="D7" t="str">
        <f t="shared" si="2"/>
        <v>JAKO LOŠE</v>
      </c>
      <c r="E7" t="str">
        <f t="shared" si="2"/>
        <v>DOBRO</v>
      </c>
      <c r="F7" t="str">
        <f t="shared" si="2"/>
        <v>DOBRO</v>
      </c>
      <c r="G7" t="str">
        <f t="shared" si="2"/>
        <v>DOBRO</v>
      </c>
      <c r="H7" t="str">
        <f t="shared" si="2"/>
        <v>DOBRO</v>
      </c>
      <c r="I7" t="str">
        <f t="shared" si="2"/>
        <v>DOBRO</v>
      </c>
      <c r="J7" t="str">
        <f t="shared" si="2"/>
        <v>DOBRO</v>
      </c>
      <c r="K7" t="str">
        <f t="shared" si="2"/>
        <v>LOŠE</v>
      </c>
      <c r="L7" t="str">
        <f>IF(L5&gt;300,"DOBRO", (IF(L5&gt;200,"LOŠE","JAKO LOŠE")))</f>
        <v>JAKO LOŠE</v>
      </c>
      <c r="M7" t="str">
        <f>IF(M5&gt;300,"DOBRO", (IF(M5&gt;200,"LOŠE","JAKO LOŠE")))</f>
        <v>JAKO LOŠE</v>
      </c>
    </row>
    <row r="9" spans="1:15" x14ac:dyDescent="0.25">
      <c r="A9" s="18" t="s">
        <v>18</v>
      </c>
      <c r="B9">
        <v>7.4</v>
      </c>
    </row>
  </sheetData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5F28E-BD8B-4EE8-B708-9798CEF38843}">
  <dimension ref="A1:O10"/>
  <sheetViews>
    <sheetView workbookViewId="0">
      <selection activeCell="B7" sqref="B7:M7"/>
    </sheetView>
  </sheetViews>
  <sheetFormatPr defaultRowHeight="13.2" x14ac:dyDescent="0.25"/>
  <cols>
    <col min="2" max="13" width="6.33203125" customWidth="1"/>
  </cols>
  <sheetData>
    <row r="1" spans="1:15" ht="13.8" thickTop="1" x14ac:dyDescent="0.25">
      <c r="A1" s="2"/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11</v>
      </c>
      <c r="K1" s="3" t="s">
        <v>12</v>
      </c>
      <c r="L1" s="3" t="s">
        <v>13</v>
      </c>
      <c r="M1" s="3" t="s">
        <v>14</v>
      </c>
      <c r="N1" s="4" t="s">
        <v>15</v>
      </c>
      <c r="O1" s="4" t="s">
        <v>16</v>
      </c>
    </row>
    <row r="2" spans="1:15" x14ac:dyDescent="0.25">
      <c r="A2" s="6" t="s">
        <v>0</v>
      </c>
      <c r="B2" s="7">
        <f>Sheet1!B2/Sheet3!$B$10</f>
        <v>0</v>
      </c>
      <c r="C2" s="7">
        <f>Sheet1!C2/Sheet3!$B$10</f>
        <v>0</v>
      </c>
      <c r="D2" s="7">
        <f>Sheet1!D2/Sheet3!$B$10</f>
        <v>135.13513513513513</v>
      </c>
      <c r="E2" s="7">
        <f>Sheet1!E2/Sheet3!$B$10</f>
        <v>270.27027027027026</v>
      </c>
      <c r="F2" s="7">
        <f>Sheet1!F2/Sheet3!$B$10</f>
        <v>405.40540540540536</v>
      </c>
      <c r="G2" s="7">
        <f>Sheet1!G2/Sheet3!$B$10</f>
        <v>270.27027027027026</v>
      </c>
      <c r="H2" s="7">
        <f>Sheet1!H2/Sheet3!$B$10</f>
        <v>135.13513513513513</v>
      </c>
      <c r="I2" s="7">
        <f>Sheet1!I2/Sheet3!$B$10</f>
        <v>540.54054054054052</v>
      </c>
      <c r="J2" s="7">
        <f>Sheet1!J2/Sheet3!$B$10</f>
        <v>405.40540540540536</v>
      </c>
      <c r="K2" s="7">
        <f>Sheet1!K2/Sheet3!$B$10</f>
        <v>0</v>
      </c>
      <c r="L2" s="7">
        <f>Sheet1!L2/Sheet3!$B$10</f>
        <v>0</v>
      </c>
      <c r="M2" s="7">
        <f>Sheet1!M2/Sheet3!$B$10</f>
        <v>0</v>
      </c>
      <c r="N2" s="9">
        <f>SUM(B2:M2)</f>
        <v>2162.1621621621621</v>
      </c>
      <c r="O2" s="9">
        <f>AVERAGE(B2:M2)</f>
        <v>180.18018018018017</v>
      </c>
    </row>
    <row r="3" spans="1:15" x14ac:dyDescent="0.25">
      <c r="A3" s="6" t="s">
        <v>1</v>
      </c>
      <c r="B3" s="7">
        <f>Sheet1!B3/tecaj</f>
        <v>0</v>
      </c>
      <c r="C3" s="7">
        <f>Sheet1!C3/tecaj</f>
        <v>0</v>
      </c>
      <c r="D3" s="7">
        <f>Sheet1!D3/tecaj</f>
        <v>0</v>
      </c>
      <c r="E3" s="7">
        <f>Sheet1!E3/tecaj</f>
        <v>270.27027027027026</v>
      </c>
      <c r="F3" s="7">
        <f>Sheet1!F3/tecaj</f>
        <v>337.83783783783781</v>
      </c>
      <c r="G3" s="7">
        <f>Sheet1!G3/tecaj</f>
        <v>405.40540540540536</v>
      </c>
      <c r="H3" s="7">
        <f>Sheet1!H3/tecaj</f>
        <v>405.40540540540536</v>
      </c>
      <c r="I3" s="7">
        <f>Sheet1!I3/tecaj</f>
        <v>270.27027027027026</v>
      </c>
      <c r="J3" s="7">
        <f>Sheet1!J3/tecaj</f>
        <v>202.70270270270268</v>
      </c>
      <c r="K3" s="7">
        <f>Sheet1!K3/tecaj</f>
        <v>135.13513513513513</v>
      </c>
      <c r="L3" s="7">
        <f>Sheet1!L3/tecaj</f>
        <v>0</v>
      </c>
      <c r="M3" s="7">
        <f>Sheet1!M3/tecaj</f>
        <v>13.513513513513512</v>
      </c>
      <c r="N3" s="7">
        <f>Sheet1!N3/tecaj</f>
        <v>2040.5405405405404</v>
      </c>
      <c r="O3" s="9">
        <f>AVERAGE(B3:M3)</f>
        <v>170.04504504504504</v>
      </c>
    </row>
    <row r="4" spans="1:15" x14ac:dyDescent="0.25">
      <c r="A4" s="6" t="s">
        <v>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9">
        <f>SUM(B4:M4)</f>
        <v>0</v>
      </c>
      <c r="O4" s="9" t="e">
        <f>AVERAGE(B4:M4)</f>
        <v>#DIV/0!</v>
      </c>
    </row>
    <row r="5" spans="1:15" x14ac:dyDescent="0.25">
      <c r="A5" s="6" t="s">
        <v>15</v>
      </c>
      <c r="B5" s="9">
        <f>SUM(B2:B4)</f>
        <v>0</v>
      </c>
      <c r="C5" s="9">
        <f t="shared" ref="C5:N5" si="0">SUM(C2:C4)</f>
        <v>0</v>
      </c>
      <c r="D5" s="9">
        <f t="shared" si="0"/>
        <v>135.13513513513513</v>
      </c>
      <c r="E5" s="9">
        <f t="shared" si="0"/>
        <v>540.54054054054052</v>
      </c>
      <c r="F5" s="9">
        <f t="shared" si="0"/>
        <v>743.24324324324311</v>
      </c>
      <c r="G5" s="9">
        <f t="shared" si="0"/>
        <v>675.67567567567562</v>
      </c>
      <c r="H5" s="9">
        <f t="shared" si="0"/>
        <v>540.54054054054052</v>
      </c>
      <c r="I5" s="9">
        <f t="shared" si="0"/>
        <v>810.81081081081084</v>
      </c>
      <c r="J5" s="9">
        <f t="shared" si="0"/>
        <v>608.10810810810801</v>
      </c>
      <c r="K5" s="9">
        <f t="shared" si="0"/>
        <v>135.13513513513513</v>
      </c>
      <c r="L5" s="9">
        <f t="shared" si="0"/>
        <v>0</v>
      </c>
      <c r="M5" s="9">
        <f t="shared" si="0"/>
        <v>13.513513513513512</v>
      </c>
      <c r="N5" s="9">
        <f t="shared" si="0"/>
        <v>4202.7027027027025</v>
      </c>
      <c r="O5" s="9">
        <f>AVERAGE(B5:M5)</f>
        <v>350.22522522522513</v>
      </c>
    </row>
    <row r="6" spans="1:15" x14ac:dyDescent="0.25">
      <c r="A6" s="6" t="s">
        <v>16</v>
      </c>
      <c r="B6" s="9">
        <f>AVERAGE(B2:B4)</f>
        <v>0</v>
      </c>
      <c r="C6" s="9">
        <f t="shared" ref="C6:N6" si="1">AVERAGE(C2:C4)</f>
        <v>0</v>
      </c>
      <c r="D6" s="9">
        <f t="shared" si="1"/>
        <v>67.567567567567565</v>
      </c>
      <c r="E6" s="9">
        <f t="shared" si="1"/>
        <v>270.27027027027026</v>
      </c>
      <c r="F6" s="9">
        <f t="shared" si="1"/>
        <v>371.62162162162156</v>
      </c>
      <c r="G6" s="9">
        <f t="shared" si="1"/>
        <v>337.83783783783781</v>
      </c>
      <c r="H6" s="9">
        <f t="shared" si="1"/>
        <v>270.27027027027026</v>
      </c>
      <c r="I6" s="9">
        <f t="shared" si="1"/>
        <v>405.40540540540542</v>
      </c>
      <c r="J6" s="9">
        <f t="shared" si="1"/>
        <v>304.05405405405401</v>
      </c>
      <c r="K6" s="9">
        <f t="shared" si="1"/>
        <v>67.567567567567565</v>
      </c>
      <c r="L6" s="9">
        <f t="shared" si="1"/>
        <v>0</v>
      </c>
      <c r="M6" s="9">
        <f t="shared" si="1"/>
        <v>6.7567567567567561</v>
      </c>
      <c r="N6" s="9">
        <f t="shared" si="1"/>
        <v>1400.9009009009008</v>
      </c>
      <c r="O6" s="13"/>
    </row>
    <row r="7" spans="1:15" x14ac:dyDescent="0.25">
      <c r="A7" s="19" t="s">
        <v>20</v>
      </c>
      <c r="B7" t="str">
        <f>IF(B6&gt;300,"DOBAR",(IF(B6&gt;100,"LOŠ","ZAO")))</f>
        <v>ZAO</v>
      </c>
      <c r="C7" t="str">
        <f t="shared" ref="C7:M7" si="2">IF(C6&gt;300,"DOBAR",(IF(C6&gt;100,"LOŠ","ZAO")))</f>
        <v>ZAO</v>
      </c>
      <c r="D7" t="str">
        <f t="shared" si="2"/>
        <v>ZAO</v>
      </c>
      <c r="E7" t="str">
        <f t="shared" si="2"/>
        <v>LOŠ</v>
      </c>
      <c r="F7" t="str">
        <f t="shared" si="2"/>
        <v>DOBAR</v>
      </c>
      <c r="G7" t="str">
        <f t="shared" si="2"/>
        <v>DOBAR</v>
      </c>
      <c r="H7" t="str">
        <f t="shared" si="2"/>
        <v>LOŠ</v>
      </c>
      <c r="I7" t="str">
        <f t="shared" si="2"/>
        <v>DOBAR</v>
      </c>
      <c r="J7" t="str">
        <f t="shared" si="2"/>
        <v>DOBAR</v>
      </c>
      <c r="K7" t="str">
        <f t="shared" si="2"/>
        <v>ZAO</v>
      </c>
      <c r="L7" t="str">
        <f t="shared" si="2"/>
        <v>ZAO</v>
      </c>
      <c r="M7" t="str">
        <f t="shared" si="2"/>
        <v>ZAO</v>
      </c>
    </row>
    <row r="10" spans="1:15" x14ac:dyDescent="0.25">
      <c r="A10" t="s">
        <v>19</v>
      </c>
      <c r="B10">
        <v>7.4</v>
      </c>
    </row>
  </sheetData>
  <phoneticPr fontId="1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90E0B-7C64-4099-AFF9-4AAC7ADF8A10}">
  <dimension ref="A1:O10"/>
  <sheetViews>
    <sheetView workbookViewId="0">
      <selection activeCell="B7" sqref="B7:L7"/>
    </sheetView>
  </sheetViews>
  <sheetFormatPr defaultRowHeight="13.2" x14ac:dyDescent="0.25"/>
  <sheetData>
    <row r="1" spans="1:15" ht="13.8" thickTop="1" x14ac:dyDescent="0.25">
      <c r="A1" s="2"/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11</v>
      </c>
      <c r="K1" s="3" t="s">
        <v>12</v>
      </c>
      <c r="L1" s="3" t="s">
        <v>13</v>
      </c>
      <c r="M1" s="3" t="s">
        <v>14</v>
      </c>
      <c r="N1" s="4" t="s">
        <v>15</v>
      </c>
      <c r="O1" s="4" t="s">
        <v>16</v>
      </c>
    </row>
    <row r="2" spans="1:15" x14ac:dyDescent="0.25">
      <c r="A2" s="6" t="s">
        <v>0</v>
      </c>
      <c r="B2" s="20">
        <f>Sheet1!B2/emu</f>
        <v>0</v>
      </c>
      <c r="C2" s="20">
        <f>Sheet1!C2/emu</f>
        <v>0</v>
      </c>
      <c r="D2" s="20">
        <f>Sheet1!D2/emu</f>
        <v>135.13513513513513</v>
      </c>
      <c r="E2" s="20">
        <f>Sheet1!E2/emu</f>
        <v>270.27027027027026</v>
      </c>
      <c r="F2" s="20">
        <f>Sheet1!F2/emu</f>
        <v>405.40540540540536</v>
      </c>
      <c r="G2" s="20">
        <f>Sheet1!G2/emu</f>
        <v>270.27027027027026</v>
      </c>
      <c r="H2" s="20">
        <f>Sheet1!H2/emu</f>
        <v>135.13513513513513</v>
      </c>
      <c r="I2" s="20">
        <f>Sheet1!I2/emu</f>
        <v>540.54054054054052</v>
      </c>
      <c r="J2" s="20">
        <f>Sheet1!J2/emu</f>
        <v>405.40540540540536</v>
      </c>
      <c r="K2" s="20">
        <f>Sheet1!K2/emu</f>
        <v>0</v>
      </c>
      <c r="L2" s="20"/>
      <c r="M2" s="20"/>
      <c r="N2" s="21">
        <f>SUM(B2:M2)</f>
        <v>2162.1621621621621</v>
      </c>
      <c r="O2" s="21">
        <f>AVERAGE(B2:M2)</f>
        <v>216.2162162162162</v>
      </c>
    </row>
    <row r="3" spans="1:15" x14ac:dyDescent="0.25">
      <c r="A3" s="6" t="s">
        <v>1</v>
      </c>
      <c r="B3" s="20">
        <f>Sheet1!B3/emu</f>
        <v>0</v>
      </c>
      <c r="C3" s="20">
        <f>Sheet1!C3/emu</f>
        <v>0</v>
      </c>
      <c r="D3" s="20">
        <f>Sheet1!D3/emu</f>
        <v>0</v>
      </c>
      <c r="E3" s="20">
        <f>Sheet1!E3/emu</f>
        <v>270.27027027027026</v>
      </c>
      <c r="F3" s="20">
        <f>Sheet1!F3/emu</f>
        <v>337.83783783783781</v>
      </c>
      <c r="G3" s="20">
        <f>Sheet1!G3/emu</f>
        <v>405.40540540540536</v>
      </c>
      <c r="H3" s="20">
        <f>Sheet1!H3/emu</f>
        <v>405.40540540540536</v>
      </c>
      <c r="I3" s="20">
        <f>Sheet1!I3/emu</f>
        <v>270.27027027027026</v>
      </c>
      <c r="J3" s="20">
        <f>Sheet1!J3/emu</f>
        <v>202.70270270270268</v>
      </c>
      <c r="K3" s="20">
        <f>Sheet1!K3/emu</f>
        <v>135.13513513513513</v>
      </c>
      <c r="L3" s="20"/>
      <c r="M3" s="20"/>
      <c r="N3" s="21">
        <f>SUM(B3:M3)</f>
        <v>2027.0270270270271</v>
      </c>
      <c r="O3" s="21">
        <f>AVERAGE(B3:M3)</f>
        <v>202.70270270270271</v>
      </c>
    </row>
    <row r="4" spans="1:15" x14ac:dyDescent="0.25">
      <c r="A4" s="6" t="s">
        <v>2</v>
      </c>
      <c r="B4" s="20">
        <f>Sheet1!B4/emu</f>
        <v>0</v>
      </c>
      <c r="C4" s="20">
        <f>Sheet1!C4/emu</f>
        <v>27.027027027027025</v>
      </c>
      <c r="D4" s="20">
        <f>Sheet1!D4/emu</f>
        <v>54.054054054054049</v>
      </c>
      <c r="E4" s="20">
        <f>Sheet1!E4/emu</f>
        <v>135.13513513513513</v>
      </c>
      <c r="F4" s="20">
        <f>Sheet1!F4/emu</f>
        <v>202.70270270270268</v>
      </c>
      <c r="G4" s="20">
        <f>Sheet1!G4/emu</f>
        <v>202.70270270270268</v>
      </c>
      <c r="H4" s="20">
        <f>Sheet1!H4/emu</f>
        <v>162.16216216216216</v>
      </c>
      <c r="I4" s="20">
        <f>Sheet1!I4/emu</f>
        <v>270.27027027027026</v>
      </c>
      <c r="J4" s="20">
        <f>Sheet1!J4/emu</f>
        <v>202.70270270270268</v>
      </c>
      <c r="K4" s="20">
        <f>Sheet1!K4/emu</f>
        <v>67.567567567567565</v>
      </c>
      <c r="L4" s="20"/>
      <c r="M4" s="20"/>
      <c r="N4" s="21">
        <f>SUM(B4:M4)</f>
        <v>1324.3243243243242</v>
      </c>
      <c r="O4" s="21">
        <f>AVERAGE(B4:M4)</f>
        <v>132.43243243243242</v>
      </c>
    </row>
    <row r="5" spans="1:15" x14ac:dyDescent="0.25">
      <c r="A5" s="6" t="s">
        <v>15</v>
      </c>
      <c r="B5" s="21">
        <f>SUM(B2:B4)</f>
        <v>0</v>
      </c>
      <c r="C5" s="21">
        <f t="shared" ref="C5:N5" si="0">SUM(C2:C4)</f>
        <v>27.027027027027025</v>
      </c>
      <c r="D5" s="21">
        <f t="shared" si="0"/>
        <v>189.18918918918916</v>
      </c>
      <c r="E5" s="21">
        <f t="shared" si="0"/>
        <v>675.67567567567562</v>
      </c>
      <c r="F5" s="21">
        <f t="shared" si="0"/>
        <v>945.94594594594582</v>
      </c>
      <c r="G5" s="21">
        <f t="shared" si="0"/>
        <v>878.37837837837833</v>
      </c>
      <c r="H5" s="21">
        <f t="shared" si="0"/>
        <v>702.70270270270271</v>
      </c>
      <c r="I5" s="21">
        <f t="shared" si="0"/>
        <v>1081.081081081081</v>
      </c>
      <c r="J5" s="21">
        <f t="shared" si="0"/>
        <v>810.81081081081072</v>
      </c>
      <c r="K5" s="21">
        <f t="shared" si="0"/>
        <v>202.70270270270271</v>
      </c>
      <c r="L5" s="21">
        <f t="shared" si="0"/>
        <v>0</v>
      </c>
      <c r="M5" s="21">
        <f t="shared" si="0"/>
        <v>0</v>
      </c>
      <c r="N5" s="21">
        <f t="shared" si="0"/>
        <v>5513.5135135135133</v>
      </c>
      <c r="O5" s="21">
        <f>AVERAGE(B5:M5)</f>
        <v>459.45945945945937</v>
      </c>
    </row>
    <row r="6" spans="1:15" x14ac:dyDescent="0.25">
      <c r="A6" s="6" t="s">
        <v>16</v>
      </c>
      <c r="B6" s="21">
        <f>AVERAGE(B2:B4)</f>
        <v>0</v>
      </c>
      <c r="C6" s="21">
        <f t="shared" ref="C6:N6" si="1">AVERAGE(C2:C4)</f>
        <v>9.0090090090090076</v>
      </c>
      <c r="D6" s="21">
        <f t="shared" si="1"/>
        <v>63.063063063063055</v>
      </c>
      <c r="E6" s="21">
        <f t="shared" si="1"/>
        <v>225.22522522522522</v>
      </c>
      <c r="F6" s="21">
        <f t="shared" si="1"/>
        <v>315.31531531531527</v>
      </c>
      <c r="G6" s="21">
        <f t="shared" si="1"/>
        <v>292.7927927927928</v>
      </c>
      <c r="H6" s="21">
        <f t="shared" si="1"/>
        <v>234.23423423423424</v>
      </c>
      <c r="I6" s="21">
        <f t="shared" si="1"/>
        <v>360.36036036036035</v>
      </c>
      <c r="J6" s="21">
        <f t="shared" si="1"/>
        <v>270.27027027027026</v>
      </c>
      <c r="K6" s="21">
        <f t="shared" si="1"/>
        <v>67.567567567567565</v>
      </c>
      <c r="L6" s="21" t="e">
        <f t="shared" si="1"/>
        <v>#DIV/0!</v>
      </c>
      <c r="M6" s="21" t="e">
        <f t="shared" si="1"/>
        <v>#DIV/0!</v>
      </c>
      <c r="N6" s="21">
        <f t="shared" si="1"/>
        <v>1837.8378378378377</v>
      </c>
      <c r="O6" s="22"/>
    </row>
    <row r="7" spans="1:15" x14ac:dyDescent="0.25">
      <c r="A7" s="19" t="s">
        <v>20</v>
      </c>
      <c r="B7" t="str">
        <f>IF(B6&gt;300,"DOBAR",(IF(B6&gt;100,"LOŠ","ZAO")))</f>
        <v>ZAO</v>
      </c>
      <c r="C7" t="str">
        <f t="shared" ref="C7:L7" si="2">IF(C6&gt;300,"DOBAR",(IF(C6&gt;100,"LOŠ","ZAO")))</f>
        <v>ZAO</v>
      </c>
      <c r="D7" t="str">
        <f t="shared" si="2"/>
        <v>ZAO</v>
      </c>
      <c r="E7" t="str">
        <f t="shared" si="2"/>
        <v>LOŠ</v>
      </c>
      <c r="F7" t="str">
        <f t="shared" si="2"/>
        <v>DOBAR</v>
      </c>
      <c r="G7" t="str">
        <f t="shared" si="2"/>
        <v>LOŠ</v>
      </c>
      <c r="H7" t="str">
        <f t="shared" si="2"/>
        <v>LOŠ</v>
      </c>
      <c r="I7" t="str">
        <f t="shared" si="2"/>
        <v>DOBAR</v>
      </c>
      <c r="J7" t="str">
        <f t="shared" si="2"/>
        <v>LOŠ</v>
      </c>
      <c r="K7" t="str">
        <f t="shared" si="2"/>
        <v>ZAO</v>
      </c>
      <c r="L7" t="e">
        <f t="shared" si="2"/>
        <v>#DIV/0!</v>
      </c>
    </row>
    <row r="10" spans="1:15" x14ac:dyDescent="0.25">
      <c r="A10" t="s">
        <v>18</v>
      </c>
      <c r="B10">
        <v>7.4</v>
      </c>
    </row>
  </sheetData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Sheet1</vt:lpstr>
      <vt:lpstr>Sheet2</vt:lpstr>
      <vt:lpstr>Sheet3</vt:lpstr>
      <vt:lpstr>Sheet4</vt:lpstr>
      <vt:lpstr>emu</vt:lpstr>
      <vt:lpstr>euro</vt:lpstr>
      <vt:lpstr>tecaj</vt:lpstr>
    </vt:vector>
  </TitlesOfParts>
  <Company>Sveučilište  u Dubrovniku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b25</dc:creator>
  <cp:lastModifiedBy>Ivona Zakarija</cp:lastModifiedBy>
  <dcterms:created xsi:type="dcterms:W3CDTF">2006-01-12T13:34:51Z</dcterms:created>
  <dcterms:modified xsi:type="dcterms:W3CDTF">2026-06-07T17:42:37Z</dcterms:modified>
</cp:coreProperties>
</file>